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029" codeName="{320AAD7A-AEEB-3B57-35EE-6C7AAB037B02}"/>
  <workbookPr codeName="ThisWorkbook" defaultThemeVersion="166925"/>
  <mc:AlternateContent xmlns:mc="http://schemas.openxmlformats.org/markup-compatibility/2006">
    <mc:Choice Requires="x15">
      <x15ac:absPath xmlns:x15ac="http://schemas.microsoft.com/office/spreadsheetml/2010/11/ac" url="C:\Users\allbr\Desktop\"/>
    </mc:Choice>
  </mc:AlternateContent>
  <xr:revisionPtr revIDLastSave="0" documentId="13_ncr:1_{56ECF315-3A7A-4074-A663-2A8C7A815447}" xr6:coauthVersionLast="28" xr6:coauthVersionMax="28" xr10:uidLastSave="{00000000-0000-0000-0000-000000000000}"/>
  <bookViews>
    <workbookView xWindow="0" yWindow="0" windowWidth="15345" windowHeight="4455" tabRatio="810" activeTab="4" xr2:uid="{00000000-000D-0000-FFFF-FFFF00000000}"/>
  </bookViews>
  <sheets>
    <sheet name="Introduction" sheetId="2" r:id="rId1"/>
    <sheet name="Programs" sheetId="10" r:id="rId2"/>
    <sheet name="Deliverable (sheet calculation)" sheetId="3" r:id="rId3"/>
    <sheet name="Deliverable" sheetId="1" r:id="rId4"/>
    <sheet name="Table" sheetId="4" r:id="rId5"/>
    <sheet name="Result 1" sheetId="8" r:id="rId6"/>
    <sheet name="Result 2" sheetId="9" r:id="rId7"/>
    <sheet name="Result 3" sheetId="12" r:id="rId8"/>
    <sheet name="Result 4" sheetId="11" r:id="rId9"/>
    <sheet name="DATA" sheetId="6" r:id="rId10"/>
  </sheets>
  <functionGroups builtInGroupCount="19"/>
  <definedNames>
    <definedName name="Distance">Deliverable!$D$8</definedName>
    <definedName name="Dx" localSheetId="2">'Deliverable (sheet calculation)'!$C$5</definedName>
    <definedName name="dxtol">Deliverable!$D$14</definedName>
    <definedName name="firstcell">Table!$E$9</definedName>
    <definedName name="fuel" localSheetId="2">'Deliverable (sheet calculation)'!$C$9</definedName>
    <definedName name="FuelRate">Deliverable!$D$13</definedName>
    <definedName name="Ks" localSheetId="2">'Deliverable (sheet calculation)'!$C$12</definedName>
    <definedName name="MaxL">Deliverable!$D$12</definedName>
    <definedName name="ML" localSheetId="2">'Deliverable (sheet calculation)'!$C$7</definedName>
    <definedName name="NC" localSheetId="2">'Deliverable (sheet calculation)'!$C$8</definedName>
    <definedName name="Ncamel">Deliverable!$D$11</definedName>
    <definedName name="Ncamelx">Deliverable!$C$16</definedName>
    <definedName name="NxIn">Table!$D$6</definedName>
    <definedName name="Result">Deliverable!$H$8</definedName>
    <definedName name="s_1">Deliverable!$H$10</definedName>
    <definedName name="s_2">Deliverable!$I$10</definedName>
    <definedName name="s_3">Deliverable!$J$10</definedName>
    <definedName name="s_4">Deliverable!$K$10</definedName>
    <definedName name="SL" localSheetId="2">'Deliverable (sheet calculation)'!$C$6</definedName>
    <definedName name="StartL">Deliverable!$D$10</definedName>
    <definedName name="StartLx">Deliverable!$C$17</definedName>
    <definedName name="x0">Deliverable!$D$9</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45" i="11" l="1"/>
  <c r="J44" i="11"/>
  <c r="J43" i="11"/>
  <c r="J42" i="11"/>
  <c r="J41" i="11"/>
  <c r="J40" i="11"/>
  <c r="J39" i="11"/>
  <c r="J38" i="11"/>
  <c r="J37" i="11"/>
  <c r="J36" i="11"/>
  <c r="J32" i="11"/>
  <c r="J31" i="11"/>
  <c r="J30" i="11"/>
  <c r="J29" i="11"/>
  <c r="J28" i="11"/>
  <c r="J27" i="11"/>
  <c r="J26" i="11"/>
  <c r="J25" i="11"/>
  <c r="J24" i="11"/>
  <c r="J23" i="11"/>
  <c r="J22" i="11"/>
  <c r="J21" i="11"/>
  <c r="J20" i="11"/>
  <c r="J16" i="11"/>
  <c r="J15" i="11"/>
  <c r="J14" i="11"/>
  <c r="J13" i="11"/>
  <c r="J12" i="11"/>
  <c r="J11" i="11"/>
  <c r="J10" i="11"/>
  <c r="J9" i="11"/>
  <c r="J8" i="11"/>
  <c r="J7" i="11"/>
  <c r="L15" i="4" l="1"/>
  <c r="L10" i="4"/>
  <c r="L11" i="4"/>
  <c r="L12" i="4"/>
  <c r="L13" i="4"/>
  <c r="L14" i="4"/>
  <c r="L9" i="4"/>
  <c r="K14" i="9" l="1"/>
  <c r="K13" i="9"/>
  <c r="K12" i="9"/>
  <c r="K11" i="9"/>
  <c r="K10" i="9"/>
  <c r="K9" i="9"/>
  <c r="K8" i="9"/>
  <c r="K7" i="9"/>
  <c r="K6" i="9"/>
  <c r="K5" i="9"/>
  <c r="J5" i="3" l="1"/>
  <c r="F6" i="3"/>
  <c r="F7" i="3" s="1"/>
  <c r="F8" i="3" s="1"/>
  <c r="F9" i="3" s="1"/>
  <c r="F10" i="3" s="1"/>
  <c r="F11" i="3" s="1"/>
  <c r="F12" i="3" s="1"/>
  <c r="F13" i="3" s="1"/>
  <c r="F14" i="3" s="1"/>
  <c r="C12" i="3"/>
  <c r="C14" i="3" s="1"/>
  <c r="I5" i="3" l="1"/>
  <c r="G6" i="3" s="1"/>
  <c r="J6" i="3" s="1"/>
  <c r="H5" i="3"/>
  <c r="K5" i="3" s="1"/>
  <c r="C13" i="3"/>
  <c r="I6" i="3" l="1"/>
  <c r="G7" i="3" s="1"/>
  <c r="J7" i="3" s="1"/>
  <c r="H6" i="3"/>
  <c r="K6" i="3" s="1"/>
  <c r="I7" i="3" l="1"/>
  <c r="G8" i="3" s="1"/>
  <c r="J8" i="3" s="1"/>
  <c r="H7" i="3"/>
  <c r="K7" i="3" s="1"/>
  <c r="H8" i="3" l="1"/>
  <c r="K8" i="3" s="1"/>
  <c r="I8" i="3"/>
  <c r="G9" i="3" s="1"/>
  <c r="J9" i="3" s="1"/>
  <c r="H9" i="3" l="1"/>
  <c r="K9" i="3" s="1"/>
  <c r="I9" i="3"/>
  <c r="G10" i="3" s="1"/>
  <c r="J10" i="3" s="1"/>
  <c r="H10" i="3" l="1"/>
  <c r="K10" i="3" s="1"/>
  <c r="I10" i="3"/>
  <c r="G11" i="3" s="1"/>
  <c r="J11" i="3" s="1"/>
  <c r="H11" i="3" l="1"/>
  <c r="K11" i="3" s="1"/>
  <c r="I11" i="3"/>
  <c r="G12" i="3" s="1"/>
  <c r="J12" i="3" s="1"/>
  <c r="H12" i="3" l="1"/>
  <c r="K12" i="3" s="1"/>
  <c r="I12" i="3"/>
  <c r="G13" i="3" s="1"/>
  <c r="J13" i="3" l="1"/>
  <c r="H13" i="3"/>
  <c r="K13" i="3" s="1"/>
  <c r="I13" i="3"/>
  <c r="G14" i="3" s="1"/>
  <c r="J14" i="3" l="1"/>
  <c r="H14" i="3"/>
  <c r="K14" i="3" s="1"/>
  <c r="I14" i="3"/>
</calcChain>
</file>

<file path=xl/sharedStrings.xml><?xml version="1.0" encoding="utf-8"?>
<sst xmlns="http://schemas.openxmlformats.org/spreadsheetml/2006/main" count="186" uniqueCount="118">
  <si>
    <t>Number of camels=</t>
  </si>
  <si>
    <t>Load of grain to be transported (in pounds)=</t>
  </si>
  <si>
    <t>INPUT:</t>
  </si>
  <si>
    <t>Maximum load a camel can carry (in pounds)=</t>
  </si>
  <si>
    <t>The Camel Transport Problem</t>
  </si>
  <si>
    <t>The following brainteaser problem is from a quantitative finance job interview preparation book.</t>
  </si>
  <si>
    <t>The problem:</t>
  </si>
  <si>
    <t>It is your task to deliver as much grain as possible from City A to City B.  The cities are 1000 miles apart.  You initially have 10,000 pounds of grain.  Your camel may carry up to 1000 pounds and eats 1 pound per mile travel.  You may leave grain along the way and return to it later.  How much grain can you deliver to City B?</t>
  </si>
  <si>
    <t>Minimum distance for any load=</t>
  </si>
  <si>
    <t>(1) The camel needs to deposit the grain at some stops along the way and return to it later, otherwise the camel would eat all of its 1000 pound load going from City A to City B with no grain left for any return trip.</t>
  </si>
  <si>
    <t xml:space="preserve">(3) For optimal delivery to City B, the camel has to be loaded to the maximum 1000 lb. at every stop and arrive at the stop with zero load before reloading.  </t>
  </si>
  <si>
    <t>Analysis:</t>
  </si>
  <si>
    <t>Solution:</t>
  </si>
  <si>
    <t>Continuing this calculation:</t>
  </si>
  <si>
    <t>So the amount of grain delivered to City B:</t>
  </si>
  <si>
    <t>Amount of grain per mile (pounds/mile)=</t>
  </si>
  <si>
    <r>
      <t xml:space="preserve">(2) Let  </t>
    </r>
    <r>
      <rPr>
        <b/>
        <sz val="12"/>
        <color theme="1"/>
        <rFont val="Calibri"/>
        <family val="2"/>
        <scheme val="minor"/>
      </rPr>
      <t>A=0</t>
    </r>
    <r>
      <rPr>
        <sz val="12"/>
        <color theme="1"/>
        <rFont val="Calibri"/>
        <family val="2"/>
        <scheme val="minor"/>
      </rPr>
      <t xml:space="preserve">  be the start and  </t>
    </r>
    <r>
      <rPr>
        <b/>
        <sz val="12"/>
        <color theme="1"/>
        <rFont val="Calibri"/>
        <family val="2"/>
        <scheme val="minor"/>
      </rPr>
      <t>B=1000</t>
    </r>
    <r>
      <rPr>
        <sz val="12"/>
        <color theme="1"/>
        <rFont val="Calibri"/>
        <family val="2"/>
        <scheme val="minor"/>
      </rPr>
      <t xml:space="preserve">  the end, let  </t>
    </r>
    <r>
      <rPr>
        <b/>
        <sz val="12"/>
        <color theme="1"/>
        <rFont val="Calibri"/>
        <family val="2"/>
        <scheme val="minor"/>
      </rPr>
      <t>x_1,  x_2,  x_3, … , x_m</t>
    </r>
    <r>
      <rPr>
        <sz val="12"/>
        <color theme="1"/>
        <rFont val="Calibri"/>
        <family val="2"/>
        <scheme val="minor"/>
      </rPr>
      <t xml:space="preserve">  be the stops located along the way where the camel will unload and reload the grain:</t>
    </r>
  </si>
  <si>
    <r>
      <rPr>
        <b/>
        <sz val="12"/>
        <color theme="1"/>
        <rFont val="Calibri"/>
        <family val="2"/>
        <scheme val="minor"/>
      </rPr>
      <t>A = 0  &lt;  x_1  &lt;  x_2  &lt;  … &lt;  x_m  &lt;  1000 = B</t>
    </r>
    <r>
      <rPr>
        <sz val="12"/>
        <color theme="1"/>
        <rFont val="Calibri"/>
        <family val="2"/>
        <scheme val="minor"/>
      </rPr>
      <t xml:space="preserve"> (in miles)</t>
    </r>
  </si>
  <si>
    <r>
      <t xml:space="preserve">The distance between consecutive stops is less than 500 miles, otherwise the camel would consume its entire 1000 lb. load travelling to and from any location.  It is possible that the distance from  </t>
    </r>
    <r>
      <rPr>
        <b/>
        <sz val="12"/>
        <color theme="1"/>
        <rFont val="Calibri"/>
        <family val="2"/>
        <scheme val="minor"/>
      </rPr>
      <t>x_m</t>
    </r>
    <r>
      <rPr>
        <sz val="12"/>
        <color theme="1"/>
        <rFont val="Calibri"/>
        <family val="2"/>
        <scheme val="minor"/>
      </rPr>
      <t xml:space="preserve">  to  </t>
    </r>
    <r>
      <rPr>
        <b/>
        <sz val="12"/>
        <color theme="1"/>
        <rFont val="Calibri"/>
        <family val="2"/>
        <scheme val="minor"/>
      </rPr>
      <t>B</t>
    </r>
    <r>
      <rPr>
        <sz val="12"/>
        <color theme="1"/>
        <rFont val="Calibri"/>
        <family val="2"/>
        <scheme val="minor"/>
      </rPr>
      <t xml:space="preserve">  is greater than 500 miles provided that the camel only has to make one trip from  </t>
    </r>
    <r>
      <rPr>
        <b/>
        <sz val="12"/>
        <color theme="1"/>
        <rFont val="Calibri"/>
        <family val="2"/>
        <scheme val="minor"/>
      </rPr>
      <t>x_m</t>
    </r>
    <r>
      <rPr>
        <sz val="12"/>
        <color theme="1"/>
        <rFont val="Calibri"/>
        <family val="2"/>
        <scheme val="minor"/>
      </rPr>
      <t xml:space="preserve">  to  </t>
    </r>
    <r>
      <rPr>
        <b/>
        <sz val="12"/>
        <color theme="1"/>
        <rFont val="Calibri"/>
        <family val="2"/>
        <scheme val="minor"/>
      </rPr>
      <t>B</t>
    </r>
    <r>
      <rPr>
        <sz val="12"/>
        <color theme="1"/>
        <rFont val="Calibri"/>
        <family val="2"/>
        <scheme val="minor"/>
      </rPr>
      <t xml:space="preserve">  for the final delivery. </t>
    </r>
  </si>
  <si>
    <r>
      <t xml:space="preserve">At start  </t>
    </r>
    <r>
      <rPr>
        <b/>
        <sz val="12"/>
        <color theme="1"/>
        <rFont val="Calibri"/>
        <family val="2"/>
        <scheme val="minor"/>
      </rPr>
      <t>A=0</t>
    </r>
    <r>
      <rPr>
        <sz val="12"/>
        <color theme="1"/>
        <rFont val="Calibri"/>
        <family val="2"/>
        <scheme val="minor"/>
      </rPr>
      <t xml:space="preserve">, there are  </t>
    </r>
    <r>
      <rPr>
        <b/>
        <sz val="12"/>
        <color theme="1"/>
        <rFont val="Calibri"/>
        <family val="2"/>
        <scheme val="minor"/>
      </rPr>
      <t xml:space="preserve">10 </t>
    </r>
    <r>
      <rPr>
        <sz val="12"/>
        <color theme="1"/>
        <rFont val="Calibri"/>
        <family val="2"/>
        <scheme val="minor"/>
      </rPr>
      <t xml:space="preserve"> loads of 1000lb.</t>
    </r>
  </si>
  <si>
    <r>
      <t xml:space="preserve">The camel transport the 10 loads to stop  </t>
    </r>
    <r>
      <rPr>
        <b/>
        <sz val="12"/>
        <color theme="1"/>
        <rFont val="Calibri"/>
        <family val="2"/>
        <scheme val="minor"/>
      </rPr>
      <t>x_1</t>
    </r>
    <r>
      <rPr>
        <sz val="12"/>
        <color theme="1"/>
        <rFont val="Calibri"/>
        <family val="2"/>
        <scheme val="minor"/>
      </rPr>
      <t xml:space="preserve">  which accumulates  </t>
    </r>
    <r>
      <rPr>
        <b/>
        <sz val="12"/>
        <color theme="1"/>
        <rFont val="Calibri"/>
        <family val="2"/>
        <scheme val="minor"/>
      </rPr>
      <t>9</t>
    </r>
    <r>
      <rPr>
        <sz val="12"/>
        <color theme="1"/>
        <rFont val="Calibri"/>
        <family val="2"/>
        <scheme val="minor"/>
      </rPr>
      <t xml:space="preserve">  loads of 1000lb.</t>
    </r>
  </si>
  <si>
    <r>
      <t xml:space="preserve">The camel travels from  </t>
    </r>
    <r>
      <rPr>
        <b/>
        <sz val="12"/>
        <color theme="1"/>
        <rFont val="Calibri"/>
        <family val="2"/>
        <scheme val="minor"/>
      </rPr>
      <t xml:space="preserve">A </t>
    </r>
    <r>
      <rPr>
        <sz val="12"/>
        <color theme="1"/>
        <rFont val="Calibri"/>
        <family val="2"/>
        <scheme val="minor"/>
      </rPr>
      <t xml:space="preserve"> to  </t>
    </r>
    <r>
      <rPr>
        <b/>
        <sz val="12"/>
        <color theme="1"/>
        <rFont val="Calibri"/>
        <family val="2"/>
        <scheme val="minor"/>
      </rPr>
      <t>x_1</t>
    </r>
    <r>
      <rPr>
        <sz val="12"/>
        <color theme="1"/>
        <rFont val="Calibri"/>
        <family val="2"/>
        <scheme val="minor"/>
      </rPr>
      <t xml:space="preserve">  10 times and travels from  </t>
    </r>
    <r>
      <rPr>
        <b/>
        <sz val="12"/>
        <color theme="1"/>
        <rFont val="Calibri"/>
        <family val="2"/>
        <scheme val="minor"/>
      </rPr>
      <t>x_1</t>
    </r>
    <r>
      <rPr>
        <sz val="12"/>
        <color theme="1"/>
        <rFont val="Calibri"/>
        <family val="2"/>
        <scheme val="minor"/>
      </rPr>
      <t xml:space="preserve">  back to  </t>
    </r>
    <r>
      <rPr>
        <b/>
        <sz val="12"/>
        <color theme="1"/>
        <rFont val="Calibri"/>
        <family val="2"/>
        <scheme val="minor"/>
      </rPr>
      <t>A</t>
    </r>
    <r>
      <rPr>
        <sz val="12"/>
        <color theme="1"/>
        <rFont val="Calibri"/>
        <family val="2"/>
        <scheme val="minor"/>
      </rPr>
      <t xml:space="preserve">   9 times, going over the same distance  </t>
    </r>
    <r>
      <rPr>
        <b/>
        <sz val="12"/>
        <color theme="1"/>
        <rFont val="Calibri"/>
        <family val="2"/>
        <scheme val="minor"/>
      </rPr>
      <t xml:space="preserve">19 </t>
    </r>
    <r>
      <rPr>
        <sz val="12"/>
        <color theme="1"/>
        <rFont val="Calibri"/>
        <family val="2"/>
        <scheme val="minor"/>
      </rPr>
      <t xml:space="preserve"> times.</t>
    </r>
  </si>
  <si>
    <t>Starting point (from x=0) =</t>
  </si>
  <si>
    <t>Distance from (x=0 in miles)=</t>
  </si>
  <si>
    <t>Please enter positive values for input.  The starting point is by default at x =0.</t>
  </si>
  <si>
    <r>
      <t xml:space="preserve">So     </t>
    </r>
    <r>
      <rPr>
        <b/>
        <sz val="12"/>
        <color theme="1"/>
        <rFont val="Calibri"/>
        <family val="2"/>
        <scheme val="minor"/>
      </rPr>
      <t>19</t>
    </r>
    <r>
      <rPr>
        <sz val="12"/>
        <color theme="1"/>
        <rFont val="Calibri"/>
        <family val="2"/>
        <scheme val="minor"/>
      </rPr>
      <t xml:space="preserve"> * (</t>
    </r>
    <r>
      <rPr>
        <b/>
        <sz val="12"/>
        <color theme="1"/>
        <rFont val="Calibri"/>
        <family val="2"/>
        <scheme val="minor"/>
      </rPr>
      <t>x_1</t>
    </r>
    <r>
      <rPr>
        <sz val="12"/>
        <color theme="1"/>
        <rFont val="Calibri"/>
        <family val="2"/>
        <scheme val="minor"/>
      </rPr>
      <t xml:space="preserve"> - </t>
    </r>
    <r>
      <rPr>
        <b/>
        <sz val="12"/>
        <color theme="1"/>
        <rFont val="Calibri"/>
        <family val="2"/>
        <scheme val="minor"/>
      </rPr>
      <t>A</t>
    </r>
    <r>
      <rPr>
        <sz val="12"/>
        <color theme="1"/>
        <rFont val="Calibri"/>
        <family val="2"/>
        <scheme val="minor"/>
      </rPr>
      <t>) = (</t>
    </r>
    <r>
      <rPr>
        <b/>
        <sz val="12"/>
        <color theme="1"/>
        <rFont val="Calibri"/>
        <family val="2"/>
        <scheme val="minor"/>
      </rPr>
      <t>10</t>
    </r>
    <r>
      <rPr>
        <sz val="12"/>
        <color theme="1"/>
        <rFont val="Calibri"/>
        <family val="2"/>
        <scheme val="minor"/>
      </rPr>
      <t xml:space="preserve"> - </t>
    </r>
    <r>
      <rPr>
        <b/>
        <sz val="12"/>
        <color theme="1"/>
        <rFont val="Calibri"/>
        <family val="2"/>
        <scheme val="minor"/>
      </rPr>
      <t>9</t>
    </r>
    <r>
      <rPr>
        <sz val="12"/>
        <color theme="1"/>
        <rFont val="Calibri"/>
        <family val="2"/>
        <scheme val="minor"/>
      </rPr>
      <t xml:space="preserve">) * 1000     or     </t>
    </r>
    <r>
      <rPr>
        <b/>
        <sz val="12"/>
        <color theme="1"/>
        <rFont val="Calibri"/>
        <family val="2"/>
        <scheme val="minor"/>
      </rPr>
      <t>x_1 = 1000/19</t>
    </r>
    <r>
      <rPr>
        <sz val="12"/>
        <color theme="1"/>
        <rFont val="Calibri"/>
        <family val="2"/>
        <scheme val="minor"/>
      </rPr>
      <t xml:space="preserve">     </t>
    </r>
  </si>
  <si>
    <r>
      <t xml:space="preserve">At start  </t>
    </r>
    <r>
      <rPr>
        <b/>
        <sz val="12"/>
        <color theme="1"/>
        <rFont val="Calibri"/>
        <family val="2"/>
        <scheme val="minor"/>
      </rPr>
      <t>x_1</t>
    </r>
    <r>
      <rPr>
        <sz val="12"/>
        <color theme="1"/>
        <rFont val="Calibri"/>
        <family val="2"/>
        <scheme val="minor"/>
      </rPr>
      <t xml:space="preserve">, there are  </t>
    </r>
    <r>
      <rPr>
        <b/>
        <sz val="12"/>
        <color theme="1"/>
        <rFont val="Calibri"/>
        <family val="2"/>
        <scheme val="minor"/>
      </rPr>
      <t xml:space="preserve">9 </t>
    </r>
    <r>
      <rPr>
        <sz val="12"/>
        <color theme="1"/>
        <rFont val="Calibri"/>
        <family val="2"/>
        <scheme val="minor"/>
      </rPr>
      <t xml:space="preserve"> loads of 1000lb.</t>
    </r>
  </si>
  <si>
    <r>
      <t xml:space="preserve">The camel transport the 9 loads to stop  </t>
    </r>
    <r>
      <rPr>
        <b/>
        <sz val="12"/>
        <color theme="1"/>
        <rFont val="Calibri"/>
        <family val="2"/>
        <scheme val="minor"/>
      </rPr>
      <t>x_2</t>
    </r>
    <r>
      <rPr>
        <sz val="12"/>
        <color theme="1"/>
        <rFont val="Calibri"/>
        <family val="2"/>
        <scheme val="minor"/>
      </rPr>
      <t xml:space="preserve">  which accumulates  </t>
    </r>
    <r>
      <rPr>
        <b/>
        <sz val="12"/>
        <color theme="1"/>
        <rFont val="Calibri"/>
        <family val="2"/>
        <scheme val="minor"/>
      </rPr>
      <t xml:space="preserve">8 </t>
    </r>
    <r>
      <rPr>
        <sz val="12"/>
        <color theme="1"/>
        <rFont val="Calibri"/>
        <family val="2"/>
        <scheme val="minor"/>
      </rPr>
      <t xml:space="preserve"> loads of 1000lb.</t>
    </r>
  </si>
  <si>
    <r>
      <t xml:space="preserve">The camel travels from   </t>
    </r>
    <r>
      <rPr>
        <b/>
        <sz val="12"/>
        <color theme="1"/>
        <rFont val="Calibri"/>
        <family val="2"/>
        <scheme val="minor"/>
      </rPr>
      <t>x_1</t>
    </r>
    <r>
      <rPr>
        <sz val="12"/>
        <color theme="1"/>
        <rFont val="Calibri"/>
        <family val="2"/>
        <scheme val="minor"/>
      </rPr>
      <t xml:space="preserve">  to  </t>
    </r>
    <r>
      <rPr>
        <b/>
        <sz val="12"/>
        <color theme="1"/>
        <rFont val="Calibri"/>
        <family val="2"/>
        <scheme val="minor"/>
      </rPr>
      <t>x_2</t>
    </r>
    <r>
      <rPr>
        <sz val="12"/>
        <color theme="1"/>
        <rFont val="Calibri"/>
        <family val="2"/>
        <scheme val="minor"/>
      </rPr>
      <t xml:space="preserve">  9 times and travels from   </t>
    </r>
    <r>
      <rPr>
        <b/>
        <sz val="12"/>
        <color theme="1"/>
        <rFont val="Calibri"/>
        <family val="2"/>
        <scheme val="minor"/>
      </rPr>
      <t>x_2</t>
    </r>
    <r>
      <rPr>
        <sz val="12"/>
        <color theme="1"/>
        <rFont val="Calibri"/>
        <family val="2"/>
        <scheme val="minor"/>
      </rPr>
      <t xml:space="preserve">  back to  </t>
    </r>
    <r>
      <rPr>
        <b/>
        <sz val="12"/>
        <color theme="1"/>
        <rFont val="Calibri"/>
        <family val="2"/>
        <scheme val="minor"/>
      </rPr>
      <t>x_1</t>
    </r>
    <r>
      <rPr>
        <sz val="12"/>
        <color theme="1"/>
        <rFont val="Calibri"/>
        <family val="2"/>
        <scheme val="minor"/>
      </rPr>
      <t xml:space="preserve">  8 times, going over the same distance  </t>
    </r>
    <r>
      <rPr>
        <b/>
        <sz val="12"/>
        <color theme="1"/>
        <rFont val="Calibri"/>
        <family val="2"/>
        <scheme val="minor"/>
      </rPr>
      <t>17</t>
    </r>
    <r>
      <rPr>
        <sz val="12"/>
        <color theme="1"/>
        <rFont val="Calibri"/>
        <family val="2"/>
        <scheme val="minor"/>
      </rPr>
      <t xml:space="preserve">  times.</t>
    </r>
  </si>
  <si>
    <r>
      <t xml:space="preserve">So     </t>
    </r>
    <r>
      <rPr>
        <b/>
        <sz val="12"/>
        <color theme="1"/>
        <rFont val="Calibri"/>
        <family val="2"/>
        <scheme val="minor"/>
      </rPr>
      <t>17</t>
    </r>
    <r>
      <rPr>
        <sz val="12"/>
        <color theme="1"/>
        <rFont val="Calibri"/>
        <family val="2"/>
        <scheme val="minor"/>
      </rPr>
      <t xml:space="preserve"> * (</t>
    </r>
    <r>
      <rPr>
        <b/>
        <sz val="12"/>
        <color theme="1"/>
        <rFont val="Calibri"/>
        <family val="2"/>
        <scheme val="minor"/>
      </rPr>
      <t>x_2</t>
    </r>
    <r>
      <rPr>
        <sz val="12"/>
        <color theme="1"/>
        <rFont val="Calibri"/>
        <family val="2"/>
        <scheme val="minor"/>
      </rPr>
      <t xml:space="preserve">  -  </t>
    </r>
    <r>
      <rPr>
        <b/>
        <sz val="12"/>
        <color theme="1"/>
        <rFont val="Calibri"/>
        <family val="2"/>
        <scheme val="minor"/>
      </rPr>
      <t>x_1</t>
    </r>
    <r>
      <rPr>
        <sz val="12"/>
        <color theme="1"/>
        <rFont val="Calibri"/>
        <family val="2"/>
        <scheme val="minor"/>
      </rPr>
      <t>) =(</t>
    </r>
    <r>
      <rPr>
        <b/>
        <sz val="12"/>
        <color theme="1"/>
        <rFont val="Calibri"/>
        <family val="2"/>
        <scheme val="minor"/>
      </rPr>
      <t>9</t>
    </r>
    <r>
      <rPr>
        <sz val="12"/>
        <color theme="1"/>
        <rFont val="Calibri"/>
        <family val="2"/>
        <scheme val="minor"/>
      </rPr>
      <t xml:space="preserve"> - </t>
    </r>
    <r>
      <rPr>
        <b/>
        <sz val="12"/>
        <color theme="1"/>
        <rFont val="Calibri"/>
        <family val="2"/>
        <scheme val="minor"/>
      </rPr>
      <t>8</t>
    </r>
    <r>
      <rPr>
        <sz val="12"/>
        <color theme="1"/>
        <rFont val="Calibri"/>
        <family val="2"/>
        <scheme val="minor"/>
      </rPr>
      <t xml:space="preserve">)* 1000    or   </t>
    </r>
    <r>
      <rPr>
        <b/>
        <sz val="12"/>
        <color theme="1"/>
        <rFont val="Calibri"/>
        <family val="2"/>
        <scheme val="minor"/>
      </rPr>
      <t xml:space="preserve"> x_2 = 1000/17  + x_1 = 1000/17 + 1000/19</t>
    </r>
  </si>
  <si>
    <r>
      <t xml:space="preserve">         </t>
    </r>
    <r>
      <rPr>
        <b/>
        <sz val="12"/>
        <color theme="1"/>
        <rFont val="Calibri"/>
        <family val="2"/>
        <scheme val="minor"/>
      </rPr>
      <t>x_8 = 1000 * (1/5 + 1/7 + 1/9 + 1/11 + 1/13 + 1/15 + 1/17 + 1/19) = 799.922 miles</t>
    </r>
  </si>
  <si>
    <r>
      <t xml:space="preserve">         </t>
    </r>
    <r>
      <rPr>
        <b/>
        <sz val="12"/>
        <color theme="1"/>
        <rFont val="Calibri"/>
        <family val="2"/>
        <scheme val="minor"/>
      </rPr>
      <t>x_9 = 1000 * (1/3 + 1/5 + 1/7 + 1/9 + 1/11 + 1/13 + 1/15 + 1/17 + 1/19) &gt; 1000 miles</t>
    </r>
  </si>
  <si>
    <r>
      <t xml:space="preserve">So the last stop is  </t>
    </r>
    <r>
      <rPr>
        <b/>
        <sz val="12"/>
        <color theme="1"/>
        <rFont val="Calibri"/>
        <family val="2"/>
        <scheme val="minor"/>
      </rPr>
      <t>x_8 = 799.922 miles</t>
    </r>
    <r>
      <rPr>
        <sz val="12"/>
        <color theme="1"/>
        <rFont val="Calibri"/>
        <family val="2"/>
        <scheme val="minor"/>
      </rPr>
      <t xml:space="preserve">  with  </t>
    </r>
    <r>
      <rPr>
        <b/>
        <sz val="12"/>
        <color theme="1"/>
        <rFont val="Calibri"/>
        <family val="2"/>
        <scheme val="minor"/>
      </rPr>
      <t>2</t>
    </r>
    <r>
      <rPr>
        <sz val="12"/>
        <color theme="1"/>
        <rFont val="Calibri"/>
        <family val="2"/>
        <scheme val="minor"/>
      </rPr>
      <t xml:space="preserve">  loads of 1000lb. </t>
    </r>
  </si>
  <si>
    <r>
      <t xml:space="preserve">This would require  </t>
    </r>
    <r>
      <rPr>
        <b/>
        <sz val="12"/>
        <color theme="1"/>
        <rFont val="Calibri"/>
        <family val="2"/>
        <scheme val="minor"/>
      </rPr>
      <t>3</t>
    </r>
    <r>
      <rPr>
        <sz val="12"/>
        <color theme="1"/>
        <rFont val="Calibri"/>
        <family val="2"/>
        <scheme val="minor"/>
      </rPr>
      <t xml:space="preserve">  trips of  </t>
    </r>
    <r>
      <rPr>
        <b/>
        <sz val="12"/>
        <color theme="1"/>
        <rFont val="Calibri"/>
        <family val="2"/>
        <scheme val="minor"/>
      </rPr>
      <t>(1000 - 799.922) miles</t>
    </r>
    <r>
      <rPr>
        <sz val="12"/>
        <color theme="1"/>
        <rFont val="Calibri"/>
        <family val="2"/>
        <scheme val="minor"/>
      </rPr>
      <t xml:space="preserve">  to carry the loads to City B, two going forward and one going back.</t>
    </r>
  </si>
  <si>
    <r>
      <t xml:space="preserve">          </t>
    </r>
    <r>
      <rPr>
        <b/>
        <sz val="12"/>
        <color theme="1"/>
        <rFont val="Calibri"/>
        <family val="2"/>
        <scheme val="minor"/>
      </rPr>
      <t>delivery = 2000 - 3*(1000 - 799.922) = 1399.77lb.</t>
    </r>
  </si>
  <si>
    <t>RESULTS:</t>
  </si>
  <si>
    <r>
      <t xml:space="preserve">Press </t>
    </r>
    <r>
      <rPr>
        <sz val="11"/>
        <color rgb="FFFF0000"/>
        <rFont val="Britannic Bold"/>
        <family val="2"/>
      </rPr>
      <t>Start</t>
    </r>
    <r>
      <rPr>
        <sz val="11"/>
        <color theme="1"/>
        <rFont val="Calibri"/>
        <family val="2"/>
        <scheme val="minor"/>
      </rPr>
      <t xml:space="preserve"> to check input, then </t>
    </r>
    <r>
      <rPr>
        <sz val="11"/>
        <color rgb="FF00B050"/>
        <rFont val="Algerian"/>
        <family val="5"/>
      </rPr>
      <t>TRANSPORT</t>
    </r>
    <r>
      <rPr>
        <sz val="11"/>
        <color theme="1"/>
        <rFont val="Calibri"/>
        <family val="2"/>
        <scheme val="minor"/>
      </rPr>
      <t xml:space="preserve"> to get the results. </t>
    </r>
  </si>
  <si>
    <r>
      <t xml:space="preserve">The Camel Transport Problem  </t>
    </r>
    <r>
      <rPr>
        <sz val="12"/>
        <color theme="1"/>
        <rFont val="Calibri Light"/>
        <family val="2"/>
        <scheme val="major"/>
      </rPr>
      <t>(by VBA)</t>
    </r>
  </si>
  <si>
    <t>(2) If we had 2 camels instead of one, how much more grain would we be able to deliver?</t>
  </si>
  <si>
    <r>
      <t xml:space="preserve">The Camel Transport Problem  </t>
    </r>
    <r>
      <rPr>
        <sz val="12"/>
        <color theme="1"/>
        <rFont val="Calibri Light"/>
        <family val="2"/>
        <scheme val="major"/>
      </rPr>
      <t>(by sheet calculation)</t>
    </r>
  </si>
  <si>
    <t xml:space="preserve">We assume that the starting load is divisible by the maximum load carried by the camel.
If it cannot be divided evenly then the remainder is abandonned at the start at x=0. </t>
  </si>
  <si>
    <t>Distance (mi)=</t>
  </si>
  <si>
    <t>Starting Load (lb.)=</t>
  </si>
  <si>
    <t>Maximum Camel Load (lb.)=</t>
  </si>
  <si>
    <t>Fuel Rate (lb./mi.)=</t>
  </si>
  <si>
    <t>Number of Max.Loads at Start=</t>
  </si>
  <si>
    <t>Remainder left at Start=</t>
  </si>
  <si>
    <t>i</t>
  </si>
  <si>
    <t>x(i)</t>
  </si>
  <si>
    <t>grain (lb.)</t>
  </si>
  <si>
    <t>camel</t>
  </si>
  <si>
    <t>Number of camels at Start=</t>
  </si>
  <si>
    <t>INPUTS:</t>
  </si>
  <si>
    <t>StartLoad
(lb.)</t>
  </si>
  <si>
    <t>MaxLoad
per camel
(lb.)</t>
  </si>
  <si>
    <t>FuelRate
per camel
(lb./mi.)</t>
  </si>
  <si>
    <t>Distance
(mi.)</t>
  </si>
  <si>
    <t>Number of
camels at
Start</t>
  </si>
  <si>
    <t>Delivery
Load
(lb.)</t>
  </si>
  <si>
    <t>Number of
camels at
Delivery</t>
  </si>
  <si>
    <t>Number of Inputs:</t>
  </si>
  <si>
    <r>
      <t xml:space="preserve">The Camel Transport Problem  </t>
    </r>
    <r>
      <rPr>
        <sz val="12"/>
        <color theme="1"/>
        <rFont val="Calibri Light"/>
        <family val="2"/>
        <scheme val="major"/>
      </rPr>
      <t>(by VBA) Table</t>
    </r>
  </si>
  <si>
    <t>k</t>
  </si>
  <si>
    <t>x(k)</t>
  </si>
  <si>
    <t>grain(lb.)</t>
  </si>
  <si>
    <t>camels</t>
  </si>
  <si>
    <t>If the load of grain cannot be evenly divided by the maximum camel load, then the load is moved forward a small distance so that the load at the new location can be divided evenly by the maximum load.  We require that the incomplete, remainder load be sufficient fuel for moving forward a specified minimum distance and less than the delivery distance.  If the maximum camel load exceeds the load to be transported then the entire load is carried by one camel to the end.</t>
  </si>
  <si>
    <t xml:space="preserve">The table calculates the Delivery Load and the Number of camels at Delivery for the input on the left side.
Corrections are made if there are too many camels at start or if a non-interger value is given for the camels.
The corrected values are given in red, to reset press the Clear Input button. </t>
  </si>
  <si>
    <t>(1) If we traded 1000 lb. of grain for another camel, would we be able to deliver more or less grain to City B?</t>
  </si>
  <si>
    <t>Ncam=1</t>
  </si>
  <si>
    <t>Ncam=2</t>
  </si>
  <si>
    <t>Ncam=3</t>
  </si>
  <si>
    <t>Ncam=4</t>
  </si>
  <si>
    <t>Ncam=5</t>
  </si>
  <si>
    <t>DATA For chart 1</t>
  </si>
  <si>
    <t>Result 1</t>
  </si>
  <si>
    <t>Table 1</t>
  </si>
  <si>
    <t>We see in Chart 1 that fewer number of stops are required when more camels are used.</t>
  </si>
  <si>
    <t>DATA:</t>
  </si>
  <si>
    <t>Result 2</t>
  </si>
  <si>
    <t>Yield per starting camel (lb./camel)</t>
  </si>
  <si>
    <t>Table 2</t>
  </si>
  <si>
    <t>(3) What if the maximum camel load does not divide evenly into the starting load?</t>
  </si>
  <si>
    <t xml:space="preserve">The following results answer question (1) in the introduction.  We trade 1000 lb. of grain for an extra camel and we find that we can transport more to the destination 1000 miles away.  We continue trading 1000 pounds of grain for extra camels until we reach 6000 pounds and 5 camels.  It would not make sense to make more trades because the number of camels would be greater than the number of maximum camel loads at the start.  We see in Table 1 that we should not trade for more than 3 camels.  </t>
  </si>
  <si>
    <t>Assumptions:</t>
  </si>
  <si>
    <t>1. The camel can unload and reload at any location.</t>
  </si>
  <si>
    <t>2. The amount of grain required by the camel is fixed and the same for all camels throughout the entire transportation process.</t>
  </si>
  <si>
    <t>3. The camel does not require any fuel when it is not carrying any load, so it can make its way back to the start or finish.</t>
  </si>
  <si>
    <t>4. No amount of grain is lost during the transportation process.</t>
  </si>
  <si>
    <t>5. The camels will remain healthy and capable of carrying the maximum load at all times.</t>
  </si>
  <si>
    <t xml:space="preserve">Answering question (2):  By increasing the number of camels used at the start, the delivery is increased but the yield per starting camel
decreases as more camels are added; see Table 2 and Chart 2.  </t>
  </si>
  <si>
    <t>(4) If we increase the starting load to a very large amount, does the delivery/(starting load) reach an asymptotic limit?</t>
  </si>
  <si>
    <t>Delivery Load /StartLoad</t>
  </si>
  <si>
    <t>PROGRAMS</t>
  </si>
  <si>
    <t xml:space="preserve">Summary of the VBA macros used in the tabs listed below.   </t>
  </si>
  <si>
    <t xml:space="preserve">Documentation for each macro is given in its associated VBA code. </t>
  </si>
  <si>
    <t>Deliverable (sheet calculation)</t>
  </si>
  <si>
    <t>Calculates the grain delivery using cell formulas.</t>
  </si>
  <si>
    <t>*</t>
  </si>
  <si>
    <t>Deliverable</t>
  </si>
  <si>
    <t>Calculates the grain delivery using VBA macros:</t>
  </si>
  <si>
    <t>Start1()</t>
  </si>
  <si>
    <t>Transport()</t>
  </si>
  <si>
    <t>Table</t>
  </si>
  <si>
    <t>Calculates the grain delivery for a table of values using:</t>
  </si>
  <si>
    <t>ClearOutput_Table()</t>
  </si>
  <si>
    <t>ClearInput_Table()</t>
  </si>
  <si>
    <t>CalTablex()</t>
  </si>
  <si>
    <t>Finxx()</t>
  </si>
  <si>
    <t>Tranxx()</t>
  </si>
  <si>
    <t>STARTING LOAD REDUCED FROM 9525 TO 9000 lb. at x=30.88</t>
  </si>
  <si>
    <t>2158.05 pounds  DELIVERED  by 3 camels</t>
  </si>
  <si>
    <t>Result 3</t>
  </si>
  <si>
    <t>STARTING LOAD REDUCED FROM 9000 TO 8991 lb.; 9 lb. ABANDONNED AT START=0</t>
  </si>
  <si>
    <t>356.57 pounds  DELIVERED  by 1 camels</t>
  </si>
  <si>
    <t>Result 4</t>
  </si>
  <si>
    <r>
      <t>Questions:</t>
    </r>
    <r>
      <rPr>
        <b/>
        <sz val="12"/>
        <color rgb="FFFF0000"/>
        <rFont val="Calibri"/>
        <family val="2"/>
        <scheme val="minor"/>
      </rPr>
      <t xml:space="preserve"> </t>
    </r>
    <r>
      <rPr>
        <sz val="12"/>
        <color rgb="FFFF0000"/>
        <rFont val="Calibri"/>
        <family val="2"/>
        <scheme val="minor"/>
      </rPr>
      <t>Answers are in Tabs Result 1, Result 2, Result 3, Result 4</t>
    </r>
  </si>
  <si>
    <t>Testing for three different cases show that Delivery Load/StartLoad does approach an asymptotic limit as the Startload is increased exponentially to very large values.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</si>
</sst>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0" x14ac:knownFonts="1">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b/>
      <sz val="12"/>
      <color theme="1"/>
      <name val="Calibri"/>
      <family val="2"/>
      <scheme val="minor"/>
    </font>
    <font>
      <b/>
      <sz val="11"/>
      <color rgb="FFFF0000"/>
      <name val="Calibri"/>
      <family val="2"/>
      <scheme val="minor"/>
    </font>
    <font>
      <b/>
      <sz val="14"/>
      <color theme="1"/>
      <name val="Calibri"/>
      <family val="2"/>
      <scheme val="minor"/>
    </font>
    <font>
      <b/>
      <sz val="16"/>
      <color theme="5" tint="-0.249977111117893"/>
      <name val="Algerian"/>
      <family val="5"/>
    </font>
    <font>
      <sz val="11"/>
      <color rgb="FFFF0000"/>
      <name val="Britannic Bold"/>
      <family val="2"/>
    </font>
    <font>
      <sz val="11"/>
      <color rgb="FF00B050"/>
      <name val="Algerian"/>
      <family val="5"/>
    </font>
    <font>
      <b/>
      <sz val="16"/>
      <color rgb="FFFF0000"/>
      <name val="Britannic Bold"/>
      <family val="2"/>
    </font>
    <font>
      <b/>
      <sz val="14"/>
      <color rgb="FF339966"/>
      <name val="Algerian"/>
      <family val="5"/>
    </font>
    <font>
      <sz val="11"/>
      <color theme="1"/>
      <name val="Bodoni MT Black"/>
      <family val="1"/>
    </font>
    <font>
      <b/>
      <sz val="11"/>
      <color theme="1"/>
      <name val="Bodoni MT Black"/>
      <family val="1"/>
    </font>
    <font>
      <b/>
      <sz val="11"/>
      <color theme="1"/>
      <name val="Calibri"/>
      <family val="2"/>
      <scheme val="minor"/>
    </font>
    <font>
      <sz val="10"/>
      <color theme="1"/>
      <name val="Calibri"/>
      <family val="2"/>
      <scheme val="minor"/>
    </font>
    <font>
      <sz val="14"/>
      <color theme="1"/>
      <name val="Algerian"/>
      <family val="5"/>
    </font>
    <font>
      <sz val="12"/>
      <color theme="1"/>
      <name val="Calibri Light"/>
      <family val="2"/>
      <scheme val="major"/>
    </font>
    <font>
      <b/>
      <sz val="12"/>
      <color rgb="FFFF0000"/>
      <name val="Calibri"/>
      <family val="2"/>
      <scheme val="minor"/>
    </font>
    <font>
      <b/>
      <sz val="11"/>
      <color theme="0"/>
      <name val="Calibri"/>
      <family val="2"/>
      <scheme val="minor"/>
    </font>
    <font>
      <sz val="12"/>
      <color rgb="FF9C0006"/>
      <name val="Calibri"/>
      <family val="2"/>
      <scheme val="minor"/>
    </font>
    <font>
      <sz val="12"/>
      <color rgb="FFFF0000"/>
      <name val="Calibri"/>
      <family val="2"/>
      <scheme val="minor"/>
    </font>
    <font>
      <sz val="12"/>
      <color theme="0"/>
      <name val="Calibri"/>
      <family val="2"/>
      <scheme val="minor"/>
    </font>
    <font>
      <sz val="10"/>
      <color theme="0"/>
      <name val="Calibri"/>
      <family val="2"/>
      <scheme val="minor"/>
    </font>
    <font>
      <sz val="11"/>
      <name val="Calibri"/>
      <family val="2"/>
      <scheme val="minor"/>
    </font>
    <font>
      <sz val="12"/>
      <name val="Calibri"/>
      <family val="2"/>
      <scheme val="minor"/>
    </font>
    <font>
      <sz val="11"/>
      <color rgb="FF000000"/>
      <name val="Calibri"/>
      <family val="2"/>
      <scheme val="minor"/>
    </font>
    <font>
      <b/>
      <sz val="11"/>
      <color rgb="FF000080"/>
      <name val="Calibri"/>
      <family val="2"/>
    </font>
    <font>
      <b/>
      <sz val="11"/>
      <color rgb="FFFF0000"/>
      <name val="Calibri"/>
      <family val="2"/>
    </font>
    <font>
      <b/>
      <sz val="12"/>
      <color theme="0"/>
      <name val="Calibri"/>
      <family val="2"/>
      <scheme val="minor"/>
    </font>
    <font>
      <b/>
      <u/>
      <sz val="12"/>
      <color rgb="FFFF0000"/>
      <name val="Calibri"/>
      <family val="2"/>
      <scheme val="minor"/>
    </font>
    <font>
      <sz val="14"/>
      <color theme="1"/>
      <name val="Copperplate Gothic Bold"/>
      <family val="2"/>
    </font>
    <font>
      <b/>
      <sz val="11"/>
      <color rgb="FFC00000"/>
      <name val="Calibri"/>
      <family val="2"/>
      <scheme val="minor"/>
    </font>
    <font>
      <b/>
      <sz val="14"/>
      <color rgb="FF0000FF"/>
      <name val="Algerian"/>
      <family val="5"/>
    </font>
    <font>
      <sz val="14"/>
      <color rgb="FF0070C0"/>
      <name val="Arial Rounded MT Bold"/>
      <family val="2"/>
    </font>
    <font>
      <sz val="11"/>
      <color theme="0"/>
      <name val="Calibri"/>
      <family val="2"/>
      <scheme val="minor"/>
    </font>
  </fonts>
  <fills count="18">
    <fill>
      <patternFill patternType="none"/>
    </fill>
    <fill>
      <patternFill patternType="gray125"/>
    </fill>
    <fill>
      <patternFill patternType="solid">
        <fgColor theme="9" tint="0.79998168889431442"/>
        <bgColor theme="9" tint="0.79998168889431442"/>
      </patternFill>
    </fill>
    <fill>
      <patternFill patternType="solid">
        <fgColor theme="7" tint="0.79998168889431442"/>
        <bgColor indexed="65"/>
      </patternFill>
    </fill>
    <fill>
      <patternFill patternType="solid">
        <fgColor theme="7" tint="0.79998168889431442"/>
        <bgColor theme="7" tint="0.79998168889431442"/>
      </patternFill>
    </fill>
    <fill>
      <patternFill patternType="solid">
        <fgColor theme="9"/>
        <bgColor theme="9"/>
      </patternFill>
    </fill>
    <fill>
      <patternFill patternType="solid">
        <fgColor rgb="FFFFC7CE"/>
      </patternFill>
    </fill>
    <fill>
      <patternFill patternType="solid">
        <fgColor theme="8"/>
      </patternFill>
    </fill>
    <fill>
      <patternFill patternType="solid">
        <fgColor theme="8"/>
        <bgColor theme="8"/>
      </patternFill>
    </fill>
    <fill>
      <patternFill patternType="solid">
        <fgColor theme="4" tint="0.79998168889431442"/>
        <bgColor indexed="64"/>
      </patternFill>
    </fill>
    <fill>
      <patternFill patternType="solid">
        <fgColor theme="7" tint="0.39997558519241921"/>
        <bgColor indexed="65"/>
      </patternFill>
    </fill>
    <fill>
      <patternFill patternType="solid">
        <fgColor theme="9"/>
      </patternFill>
    </fill>
    <fill>
      <patternFill patternType="solid">
        <fgColor rgb="FFF6FCAA"/>
        <bgColor indexed="64"/>
      </patternFill>
    </fill>
    <fill>
      <patternFill patternType="solid">
        <fgColor theme="9"/>
        <bgColor theme="8"/>
      </patternFill>
    </fill>
    <fill>
      <patternFill patternType="solid">
        <fgColor theme="7" tint="0.39997558519241921"/>
        <bgColor theme="8"/>
      </patternFill>
    </fill>
    <fill>
      <patternFill patternType="solid">
        <fgColor theme="9" tint="0.59999389629810485"/>
        <bgColor indexed="64"/>
      </patternFill>
    </fill>
    <fill>
      <patternFill patternType="solid">
        <fgColor rgb="FF92D050"/>
        <bgColor indexed="64"/>
      </patternFill>
    </fill>
    <fill>
      <patternFill patternType="solid">
        <fgColor rgb="FFFF0000"/>
        <bgColor indexed="64"/>
      </patternFill>
    </fill>
  </fills>
  <borders count="45">
    <border>
      <left/>
      <right/>
      <top/>
      <bottom/>
      <diagonal/>
    </border>
    <border>
      <left style="thin">
        <color auto="1"/>
      </left>
      <right/>
      <top style="thin">
        <color auto="1"/>
      </top>
      <bottom/>
      <diagonal/>
    </border>
    <border>
      <left style="thin">
        <color theme="9"/>
      </left>
      <right style="thin">
        <color auto="1"/>
      </right>
      <top style="thin">
        <color theme="9"/>
      </top>
      <bottom style="thin">
        <color auto="1"/>
      </bottom>
      <diagonal/>
    </border>
    <border>
      <left style="thin">
        <color theme="9"/>
      </left>
      <right style="thin">
        <color auto="1"/>
      </right>
      <top style="thin">
        <color auto="1"/>
      </top>
      <bottom/>
      <diagonal/>
    </border>
    <border>
      <left style="thin">
        <color auto="1"/>
      </left>
      <right/>
      <top style="medium">
        <color theme="9"/>
      </top>
      <bottom/>
      <diagonal/>
    </border>
    <border>
      <left style="thin">
        <color theme="9"/>
      </left>
      <right style="thin">
        <color auto="1"/>
      </right>
      <top style="medium">
        <color theme="9"/>
      </top>
      <bottom/>
      <diagonal/>
    </border>
    <border>
      <left style="thin">
        <color auto="1"/>
      </left>
      <right/>
      <top style="thin">
        <color theme="9"/>
      </top>
      <bottom/>
      <diagonal/>
    </border>
    <border>
      <left style="thin">
        <color theme="9"/>
      </left>
      <right style="thin">
        <color auto="1"/>
      </right>
      <top style="thin">
        <color theme="9"/>
      </top>
      <bottom/>
      <diagonal/>
    </border>
    <border>
      <left style="thin">
        <color auto="1"/>
      </left>
      <right/>
      <top style="thin">
        <color theme="9"/>
      </top>
      <bottom style="thin">
        <color auto="1"/>
      </bottom>
      <diagonal/>
    </border>
    <border>
      <left style="thin">
        <color theme="7"/>
      </left>
      <right style="thin">
        <color theme="7"/>
      </right>
      <top style="thin">
        <color theme="7"/>
      </top>
      <bottom style="thin">
        <color theme="7"/>
      </bottom>
      <diagonal/>
    </border>
    <border>
      <left style="thin">
        <color theme="7"/>
      </left>
      <right/>
      <top style="thin">
        <color theme="7"/>
      </top>
      <bottom/>
      <diagonal/>
    </border>
    <border>
      <left style="thin">
        <color theme="7"/>
      </left>
      <right style="thin">
        <color theme="7"/>
      </right>
      <top style="thin">
        <color theme="7"/>
      </top>
      <bottom/>
      <diagonal/>
    </border>
    <border>
      <left style="thin">
        <color theme="7"/>
      </left>
      <right/>
      <top style="medium">
        <color theme="7"/>
      </top>
      <bottom/>
      <diagonal/>
    </border>
    <border>
      <left style="thin">
        <color theme="7"/>
      </left>
      <right style="thin">
        <color theme="7"/>
      </right>
      <top style="medium">
        <color theme="7"/>
      </top>
      <bottom/>
      <diagonal/>
    </border>
    <border>
      <left style="thin">
        <color theme="7"/>
      </left>
      <right/>
      <top style="thin">
        <color theme="7"/>
      </top>
      <bottom style="thin">
        <color theme="7"/>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style="thin">
        <color theme="9" tint="0.39997558519241921"/>
      </left>
      <right/>
      <top style="thin">
        <color theme="9" tint="0.39997558519241921"/>
      </top>
      <bottom/>
      <diagonal/>
    </border>
    <border>
      <left/>
      <right/>
      <top style="thin">
        <color theme="9" tint="0.39997558519241921"/>
      </top>
      <bottom/>
      <diagonal/>
    </border>
    <border>
      <left/>
      <right style="thin">
        <color theme="9" tint="0.39997558519241921"/>
      </right>
      <top style="thin">
        <color theme="9" tint="0.39997558519241921"/>
      </top>
      <bottom/>
      <diagonal/>
    </border>
    <border>
      <left style="thin">
        <color theme="9" tint="0.39997558519241921"/>
      </left>
      <right/>
      <top/>
      <bottom style="thin">
        <color theme="9" tint="0.39997558519241921"/>
      </bottom>
      <diagonal/>
    </border>
    <border>
      <left/>
      <right/>
      <top/>
      <bottom style="thin">
        <color theme="9" tint="0.39997558519241921"/>
      </bottom>
      <diagonal/>
    </border>
    <border>
      <left/>
      <right style="thin">
        <color theme="9" tint="0.39997558519241921"/>
      </right>
      <top/>
      <bottom style="thin">
        <color theme="9" tint="0.39997558519241921"/>
      </bottom>
      <diagonal/>
    </border>
    <border>
      <left style="thin">
        <color theme="8"/>
      </left>
      <right/>
      <top style="thin">
        <color theme="8"/>
      </top>
      <bottom style="thin">
        <color theme="8"/>
      </bottom>
      <diagonal/>
    </border>
    <border>
      <left style="thin">
        <color theme="8"/>
      </left>
      <right/>
      <top style="thin">
        <color theme="8"/>
      </top>
      <bottom/>
      <diagonal/>
    </border>
    <border>
      <left/>
      <right/>
      <top style="thin">
        <color theme="8"/>
      </top>
      <bottom style="thin">
        <color theme="8"/>
      </bottom>
      <diagonal/>
    </border>
    <border>
      <left/>
      <right/>
      <top style="thin">
        <color theme="8"/>
      </top>
      <bottom/>
      <diagonal/>
    </border>
    <border>
      <left/>
      <right style="thin">
        <color theme="8"/>
      </right>
      <top style="thin">
        <color theme="8"/>
      </top>
      <bottom style="thin">
        <color theme="8"/>
      </bottom>
      <diagonal/>
    </border>
    <border>
      <left/>
      <right style="thin">
        <color theme="8"/>
      </right>
      <top style="thin">
        <color theme="8"/>
      </top>
      <bottom/>
      <diagonal/>
    </border>
    <border>
      <left style="thin">
        <color theme="9" tint="-0.249977111117893"/>
      </left>
      <right style="thin">
        <color theme="9" tint="-0.249977111117893"/>
      </right>
      <top style="thin">
        <color theme="9" tint="-0.249977111117893"/>
      </top>
      <bottom style="thin">
        <color theme="9" tint="-0.249977111117893"/>
      </bottom>
      <diagonal/>
    </border>
    <border>
      <left style="thin">
        <color theme="8"/>
      </left>
      <right/>
      <top style="thin">
        <color theme="8"/>
      </top>
      <bottom style="thin">
        <color theme="4"/>
      </bottom>
      <diagonal/>
    </border>
    <border>
      <left/>
      <right/>
      <top style="thin">
        <color theme="8"/>
      </top>
      <bottom style="thin">
        <color theme="4"/>
      </bottom>
      <diagonal/>
    </border>
    <border>
      <left/>
      <right style="thin">
        <color theme="8"/>
      </right>
      <top style="thin">
        <color theme="8"/>
      </top>
      <bottom style="thin">
        <color theme="4"/>
      </bottom>
      <diagonal/>
    </border>
    <border>
      <left style="thin">
        <color theme="4"/>
      </left>
      <right/>
      <top style="thin">
        <color theme="8"/>
      </top>
      <bottom style="thin">
        <color theme="4"/>
      </bottom>
      <diagonal/>
    </border>
    <border>
      <left style="thin">
        <color theme="4"/>
      </left>
      <right/>
      <top style="thin">
        <color theme="8"/>
      </top>
      <bottom/>
      <diagonal/>
    </border>
    <border>
      <left style="thin">
        <color theme="8"/>
      </left>
      <right style="thin">
        <color theme="8"/>
      </right>
      <top style="thin">
        <color theme="8"/>
      </top>
      <bottom style="thin">
        <color theme="8"/>
      </bottom>
      <diagonal/>
    </border>
    <border>
      <left style="thin">
        <color theme="8"/>
      </left>
      <right style="thin">
        <color theme="8"/>
      </right>
      <top/>
      <bottom style="thin">
        <color theme="8"/>
      </bottom>
      <diagonal/>
    </border>
    <border>
      <left style="thin">
        <color auto="1"/>
      </left>
      <right style="thin">
        <color auto="1"/>
      </right>
      <top style="thin">
        <color auto="1"/>
      </top>
      <bottom style="thin">
        <color auto="1"/>
      </bottom>
      <diagonal/>
    </border>
    <border>
      <left/>
      <right style="thin">
        <color auto="1"/>
      </right>
      <top style="thin">
        <color theme="8"/>
      </top>
      <bottom style="thin">
        <color theme="8"/>
      </bottom>
      <diagonal/>
    </border>
  </borders>
  <cellStyleXfs count="5">
    <xf numFmtId="0" fontId="0" fillId="0" borderId="0"/>
    <xf numFmtId="0" fontId="3" fillId="3" borderId="0" applyNumberFormat="0" applyBorder="0" applyAlignment="0" applyProtection="0"/>
    <xf numFmtId="0" fontId="24" fillId="6" borderId="0" applyNumberFormat="0" applyBorder="0" applyAlignment="0" applyProtection="0"/>
    <xf numFmtId="0" fontId="25" fillId="0" borderId="0" applyNumberFormat="0" applyFill="0" applyBorder="0" applyAlignment="0" applyProtection="0"/>
    <xf numFmtId="0" fontId="26" fillId="7" borderId="0" applyNumberFormat="0" applyBorder="0" applyAlignment="0" applyProtection="0"/>
  </cellStyleXfs>
  <cellXfs count="165">
    <xf numFmtId="0" fontId="0" fillId="0" borderId="0" xfId="0"/>
    <xf numFmtId="0" fontId="0" fillId="0" borderId="0" xfId="0" applyAlignment="1">
      <alignment horizontal="center"/>
    </xf>
    <xf numFmtId="0" fontId="0" fillId="0" borderId="0" xfId="0" applyAlignment="1">
      <alignment wrapText="1"/>
    </xf>
    <xf numFmtId="0" fontId="7" fillId="0" borderId="0" xfId="0" applyFont="1" applyAlignment="1">
      <alignment wrapText="1"/>
    </xf>
    <xf numFmtId="0" fontId="7" fillId="0" borderId="0" xfId="0" applyFont="1" applyAlignment="1">
      <alignment horizontal="left" vertical="center" wrapText="1" indent="3"/>
    </xf>
    <xf numFmtId="0" fontId="7" fillId="0" borderId="0" xfId="0" applyFont="1" applyAlignment="1">
      <alignment horizontal="left" wrapText="1" indent="3"/>
    </xf>
    <xf numFmtId="0" fontId="7" fillId="0" borderId="0" xfId="0" applyFont="1" applyAlignment="1">
      <alignment horizontal="left" wrapText="1" indent="4"/>
    </xf>
    <xf numFmtId="0" fontId="6" fillId="0" borderId="0" xfId="0" applyFont="1" applyAlignment="1">
      <alignment horizontal="left" wrapText="1" indent="3"/>
    </xf>
    <xf numFmtId="0" fontId="6" fillId="0" borderId="0" xfId="0" applyFont="1" applyAlignment="1">
      <alignment horizontal="left" vertical="center" wrapText="1" indent="19"/>
    </xf>
    <xf numFmtId="0" fontId="6" fillId="0" borderId="0" xfId="0" applyFont="1" applyAlignment="1">
      <alignment horizontal="left" wrapText="1" indent="5"/>
    </xf>
    <xf numFmtId="0" fontId="5" fillId="0" borderId="0" xfId="0" applyFont="1" applyAlignment="1">
      <alignment horizontal="left" wrapText="1" indent="5"/>
    </xf>
    <xf numFmtId="2" fontId="0" fillId="0" borderId="0" xfId="0" applyNumberFormat="1" applyAlignment="1">
      <alignment horizontal="center"/>
    </xf>
    <xf numFmtId="2" fontId="0" fillId="0" borderId="0" xfId="0" applyNumberFormat="1"/>
    <xf numFmtId="0" fontId="0" fillId="0" borderId="0" xfId="0" applyAlignment="1"/>
    <xf numFmtId="0" fontId="9" fillId="0" borderId="0" xfId="0" applyFont="1" applyAlignment="1">
      <alignment horizontal="left"/>
    </xf>
    <xf numFmtId="0" fontId="4" fillId="0" borderId="0" xfId="0" applyFont="1" applyAlignment="1">
      <alignment horizontal="left" wrapText="1" indent="3"/>
    </xf>
    <xf numFmtId="0" fontId="4" fillId="0" borderId="0" xfId="0" applyFont="1" applyAlignment="1">
      <alignment horizontal="left" wrapText="1" indent="5"/>
    </xf>
    <xf numFmtId="0" fontId="4" fillId="0" borderId="0" xfId="0" applyFont="1" applyAlignment="1">
      <alignment horizontal="left" vertical="top" wrapText="1" indent="10"/>
    </xf>
    <xf numFmtId="0" fontId="4" fillId="0" borderId="0" xfId="0" applyFont="1" applyAlignment="1">
      <alignment horizontal="left" vertical="top" wrapText="1" indent="4"/>
    </xf>
    <xf numFmtId="0" fontId="10" fillId="0" borderId="0" xfId="0" applyFont="1"/>
    <xf numFmtId="0" fontId="4" fillId="0" borderId="0" xfId="0" applyFont="1" applyAlignment="1">
      <alignment wrapText="1"/>
    </xf>
    <xf numFmtId="0" fontId="11" fillId="0" borderId="0" xfId="0" applyFont="1"/>
    <xf numFmtId="0" fontId="16" fillId="0" borderId="0" xfId="0" applyFont="1"/>
    <xf numFmtId="0" fontId="18" fillId="0" borderId="3" xfId="0" applyFont="1" applyBorder="1" applyAlignment="1">
      <alignment horizontal="center"/>
    </xf>
    <xf numFmtId="2" fontId="0" fillId="2" borderId="5" xfId="0" applyNumberFormat="1" applyFont="1" applyFill="1" applyBorder="1" applyAlignment="1">
      <alignment horizontal="center"/>
    </xf>
    <xf numFmtId="0" fontId="0" fillId="0" borderId="6" xfId="0" applyFont="1" applyBorder="1" applyAlignment="1">
      <alignment horizontal="right"/>
    </xf>
    <xf numFmtId="2" fontId="0" fillId="0" borderId="7" xfId="0" applyNumberFormat="1" applyFont="1" applyBorder="1" applyAlignment="1">
      <alignment horizontal="center"/>
    </xf>
    <xf numFmtId="0" fontId="0" fillId="2" borderId="6" xfId="0" applyFont="1" applyFill="1" applyBorder="1" applyAlignment="1">
      <alignment horizontal="right"/>
    </xf>
    <xf numFmtId="2" fontId="0" fillId="2" borderId="7" xfId="0" applyNumberFormat="1" applyFont="1" applyFill="1" applyBorder="1" applyAlignment="1">
      <alignment horizontal="center"/>
    </xf>
    <xf numFmtId="0" fontId="0" fillId="0" borderId="7" xfId="0" applyFont="1" applyBorder="1" applyAlignment="1">
      <alignment horizontal="center"/>
    </xf>
    <xf numFmtId="0" fontId="0" fillId="0" borderId="6" xfId="0" applyFont="1" applyBorder="1" applyAlignment="1">
      <alignment horizontal="right" wrapText="1"/>
    </xf>
    <xf numFmtId="0" fontId="0" fillId="2" borderId="8" xfId="0" applyFont="1" applyFill="1" applyBorder="1" applyAlignment="1">
      <alignment horizontal="right"/>
    </xf>
    <xf numFmtId="2" fontId="0" fillId="2" borderId="2" xfId="0" applyNumberFormat="1" applyFont="1" applyFill="1" applyBorder="1" applyAlignment="1">
      <alignment horizontal="center"/>
    </xf>
    <xf numFmtId="0" fontId="0" fillId="0" borderId="0" xfId="0" applyAlignment="1">
      <alignment horizontal="left" wrapText="1"/>
    </xf>
    <xf numFmtId="0" fontId="20" fillId="0" borderId="0" xfId="0" applyFont="1" applyAlignment="1">
      <alignment vertical="top"/>
    </xf>
    <xf numFmtId="0" fontId="17" fillId="0" borderId="1" xfId="0" applyFont="1" applyBorder="1" applyAlignment="1">
      <alignment horizontal="left"/>
    </xf>
    <xf numFmtId="0" fontId="0" fillId="0" borderId="0" xfId="0" applyAlignment="1">
      <alignment horizontal="left" wrapText="1"/>
    </xf>
    <xf numFmtId="0" fontId="0" fillId="4" borderId="9" xfId="0" applyFont="1" applyFill="1" applyBorder="1" applyAlignment="1">
      <alignment horizontal="center"/>
    </xf>
    <xf numFmtId="0" fontId="18" fillId="0" borderId="10" xfId="0" applyFont="1" applyBorder="1" applyAlignment="1">
      <alignment horizontal="right"/>
    </xf>
    <xf numFmtId="0" fontId="18" fillId="0" borderId="11" xfId="0" applyFont="1" applyBorder="1" applyAlignment="1">
      <alignment horizontal="center"/>
    </xf>
    <xf numFmtId="0" fontId="0" fillId="4" borderId="12" xfId="0" applyFont="1" applyFill="1" applyBorder="1" applyAlignment="1">
      <alignment horizontal="right"/>
    </xf>
    <xf numFmtId="0" fontId="0" fillId="4" borderId="13" xfId="0" applyFont="1" applyFill="1" applyBorder="1" applyAlignment="1">
      <alignment horizontal="center"/>
    </xf>
    <xf numFmtId="0" fontId="0" fillId="0" borderId="10" xfId="0" applyFont="1" applyBorder="1" applyAlignment="1">
      <alignment horizontal="right"/>
    </xf>
    <xf numFmtId="0" fontId="0" fillId="0" borderId="11" xfId="0" applyFont="1" applyBorder="1" applyAlignment="1">
      <alignment horizontal="center"/>
    </xf>
    <xf numFmtId="0" fontId="0" fillId="4" borderId="10" xfId="0" applyFont="1" applyFill="1" applyBorder="1" applyAlignment="1">
      <alignment horizontal="right"/>
    </xf>
    <xf numFmtId="0" fontId="0" fillId="4" borderId="11" xfId="0" applyFont="1" applyFill="1" applyBorder="1" applyAlignment="1">
      <alignment horizontal="center"/>
    </xf>
    <xf numFmtId="0" fontId="0" fillId="4" borderId="14" xfId="0" applyFont="1" applyFill="1" applyBorder="1" applyAlignment="1">
      <alignment horizontal="right"/>
    </xf>
    <xf numFmtId="0" fontId="3" fillId="3" borderId="1" xfId="1" applyBorder="1" applyAlignment="1">
      <alignment horizontal="right"/>
    </xf>
    <xf numFmtId="0" fontId="3" fillId="3" borderId="15" xfId="1" applyBorder="1" applyAlignment="1">
      <alignment horizontal="center"/>
    </xf>
    <xf numFmtId="0" fontId="3" fillId="3" borderId="16" xfId="1" applyBorder="1" applyAlignment="1">
      <alignment horizontal="right"/>
    </xf>
    <xf numFmtId="0" fontId="3" fillId="3" borderId="17" xfId="1" applyBorder="1" applyAlignment="1">
      <alignment horizontal="center"/>
    </xf>
    <xf numFmtId="0" fontId="3" fillId="3" borderId="18" xfId="1" applyBorder="1" applyAlignment="1">
      <alignment horizontal="right"/>
    </xf>
    <xf numFmtId="0" fontId="3" fillId="3" borderId="19" xfId="1" applyBorder="1" applyAlignment="1">
      <alignment horizontal="center"/>
    </xf>
    <xf numFmtId="0" fontId="0" fillId="2" borderId="20" xfId="0" applyFont="1" applyFill="1" applyBorder="1" applyAlignment="1">
      <alignment horizontal="center"/>
    </xf>
    <xf numFmtId="0" fontId="0" fillId="2" borderId="21" xfId="0" applyFont="1" applyFill="1" applyBorder="1" applyAlignment="1">
      <alignment horizontal="center"/>
    </xf>
    <xf numFmtId="0" fontId="0" fillId="2" borderId="22" xfId="0" applyFont="1" applyFill="1" applyBorder="1"/>
    <xf numFmtId="0" fontId="23" fillId="5" borderId="23" xfId="0" applyFont="1" applyFill="1" applyBorder="1" applyAlignment="1">
      <alignment horizontal="center"/>
    </xf>
    <xf numFmtId="0" fontId="23" fillId="5" borderId="24" xfId="0" applyFont="1" applyFill="1" applyBorder="1" applyAlignment="1">
      <alignment horizontal="center"/>
    </xf>
    <xf numFmtId="0" fontId="23" fillId="5" borderId="25" xfId="0" applyFont="1" applyFill="1" applyBorder="1"/>
    <xf numFmtId="0" fontId="0" fillId="2" borderId="23" xfId="0" applyFont="1" applyFill="1" applyBorder="1" applyAlignment="1">
      <alignment horizontal="center"/>
    </xf>
    <xf numFmtId="0" fontId="0" fillId="2" borderId="24" xfId="0" applyFont="1" applyFill="1" applyBorder="1" applyAlignment="1">
      <alignment horizontal="center"/>
    </xf>
    <xf numFmtId="0" fontId="0" fillId="2" borderId="25" xfId="0" applyFont="1" applyFill="1" applyBorder="1"/>
    <xf numFmtId="0" fontId="0" fillId="0" borderId="23" xfId="0" applyFont="1" applyBorder="1" applyAlignment="1">
      <alignment horizontal="center"/>
    </xf>
    <xf numFmtId="0" fontId="0" fillId="0" borderId="24" xfId="0" applyFont="1" applyBorder="1" applyAlignment="1">
      <alignment horizontal="center"/>
    </xf>
    <xf numFmtId="0" fontId="0" fillId="0" borderId="25" xfId="0" applyFont="1" applyBorder="1"/>
    <xf numFmtId="0" fontId="0" fillId="0" borderId="26" xfId="0" applyFont="1" applyBorder="1" applyAlignment="1">
      <alignment horizontal="center"/>
    </xf>
    <xf numFmtId="0" fontId="0" fillId="0" borderId="27" xfId="0" applyFont="1" applyBorder="1" applyAlignment="1">
      <alignment horizontal="center"/>
    </xf>
    <xf numFmtId="0" fontId="0" fillId="0" borderId="28" xfId="0" applyFont="1" applyBorder="1"/>
    <xf numFmtId="0" fontId="23" fillId="8" borderId="32" xfId="0" applyFont="1" applyFill="1" applyBorder="1" applyAlignment="1">
      <alignment horizontal="center" vertical="center" wrapText="1"/>
    </xf>
    <xf numFmtId="0" fontId="23" fillId="8" borderId="30" xfId="0" applyFont="1" applyFill="1" applyBorder="1" applyAlignment="1">
      <alignment horizontal="center"/>
    </xf>
    <xf numFmtId="0" fontId="27" fillId="7" borderId="30" xfId="4" applyFont="1" applyBorder="1" applyAlignment="1">
      <alignment horizontal="center"/>
    </xf>
    <xf numFmtId="0" fontId="27" fillId="7" borderId="29" xfId="4" applyFont="1" applyBorder="1" applyAlignment="1">
      <alignment horizontal="center"/>
    </xf>
    <xf numFmtId="0" fontId="24" fillId="6" borderId="34" xfId="2" applyBorder="1" applyAlignment="1">
      <alignment horizontal="center" vertical="center" wrapText="1"/>
    </xf>
    <xf numFmtId="0" fontId="24" fillId="6" borderId="30" xfId="2" applyBorder="1" applyAlignment="1">
      <alignment horizontal="center" vertical="center" wrapText="1"/>
    </xf>
    <xf numFmtId="0" fontId="0" fillId="9" borderId="0" xfId="0" applyFill="1" applyAlignment="1">
      <alignment horizontal="center"/>
    </xf>
    <xf numFmtId="0" fontId="0" fillId="0" borderId="0" xfId="0" applyAlignment="1">
      <alignment horizontal="center" vertical="center"/>
    </xf>
    <xf numFmtId="0" fontId="28" fillId="0" borderId="30" xfId="3" applyFont="1" applyBorder="1" applyAlignment="1">
      <alignment horizontal="center" vertical="center"/>
    </xf>
    <xf numFmtId="0" fontId="28" fillId="0" borderId="34" xfId="3" applyFont="1" applyBorder="1" applyAlignment="1">
      <alignment horizontal="center" vertical="center"/>
    </xf>
    <xf numFmtId="0" fontId="29" fillId="0" borderId="30" xfId="3" applyFont="1" applyBorder="1" applyAlignment="1">
      <alignment horizontal="center" vertical="center"/>
    </xf>
    <xf numFmtId="0" fontId="29" fillId="0" borderId="34" xfId="3" applyFont="1" applyBorder="1" applyAlignment="1">
      <alignment horizontal="center" vertical="center"/>
    </xf>
    <xf numFmtId="0" fontId="29" fillId="0" borderId="29" xfId="3" applyFont="1" applyBorder="1" applyAlignment="1">
      <alignment horizontal="center" vertical="center"/>
    </xf>
    <xf numFmtId="0" fontId="30" fillId="0" borderId="32" xfId="0" applyFont="1" applyBorder="1" applyAlignment="1">
      <alignment horizontal="center" vertical="center"/>
    </xf>
    <xf numFmtId="0" fontId="0" fillId="2" borderId="4" xfId="0" applyFont="1" applyFill="1" applyBorder="1" applyAlignment="1">
      <alignment horizontal="right"/>
    </xf>
    <xf numFmtId="0" fontId="30" fillId="0" borderId="31" xfId="0" applyFont="1" applyBorder="1" applyAlignment="1">
      <alignment horizontal="center" vertical="center"/>
    </xf>
    <xf numFmtId="0" fontId="7" fillId="0" borderId="0" xfId="0" applyFont="1" applyAlignment="1">
      <alignment vertical="center" wrapText="1"/>
    </xf>
    <xf numFmtId="0" fontId="22" fillId="0" borderId="0" xfId="0" applyFont="1" applyAlignment="1">
      <alignment horizontal="left" vertical="center" wrapText="1" indent="3"/>
    </xf>
    <xf numFmtId="0" fontId="34" fillId="0" borderId="0" xfId="0" applyFont="1" applyAlignment="1">
      <alignment horizontal="left" vertical="center" wrapText="1" indent="3"/>
    </xf>
    <xf numFmtId="0" fontId="30" fillId="0" borderId="0" xfId="0" applyFont="1" applyAlignment="1">
      <alignment horizontal="center" vertical="center"/>
    </xf>
    <xf numFmtId="0" fontId="30" fillId="12" borderId="32" xfId="0" applyFont="1" applyFill="1" applyBorder="1" applyAlignment="1">
      <alignment horizontal="center" vertical="center"/>
    </xf>
    <xf numFmtId="0" fontId="28" fillId="12" borderId="30" xfId="3" applyFont="1" applyFill="1" applyBorder="1" applyAlignment="1">
      <alignment horizontal="center" vertical="center"/>
    </xf>
    <xf numFmtId="0" fontId="28" fillId="12" borderId="34" xfId="3" applyFont="1" applyFill="1" applyBorder="1" applyAlignment="1">
      <alignment horizontal="center" vertical="center"/>
    </xf>
    <xf numFmtId="0" fontId="35" fillId="0" borderId="0" xfId="0" applyFont="1"/>
    <xf numFmtId="0" fontId="18" fillId="0" borderId="0" xfId="0" applyFont="1" applyAlignment="1">
      <alignment horizontal="center"/>
    </xf>
    <xf numFmtId="0" fontId="18" fillId="0" borderId="0" xfId="0" applyFont="1"/>
    <xf numFmtId="0" fontId="30" fillId="0" borderId="29" xfId="0" applyFont="1" applyBorder="1" applyAlignment="1">
      <alignment horizontal="center" vertical="center"/>
    </xf>
    <xf numFmtId="0" fontId="30" fillId="0" borderId="33" xfId="0" applyFont="1" applyBorder="1" applyAlignment="1">
      <alignment horizontal="center" vertical="center"/>
    </xf>
    <xf numFmtId="11" fontId="30" fillId="0" borderId="0" xfId="0" applyNumberFormat="1" applyFont="1" applyAlignment="1">
      <alignment horizontal="center" vertical="center"/>
    </xf>
    <xf numFmtId="2" fontId="0" fillId="0" borderId="0" xfId="0" applyNumberFormat="1" applyAlignment="1">
      <alignment horizontal="center" vertical="center"/>
    </xf>
    <xf numFmtId="0" fontId="23" fillId="13" borderId="35" xfId="0" applyFont="1" applyFill="1" applyBorder="1" applyAlignment="1">
      <alignment horizontal="center" vertical="center" wrapText="1"/>
    </xf>
    <xf numFmtId="2" fontId="33" fillId="11" borderId="35" xfId="2" applyNumberFormat="1" applyFont="1" applyFill="1" applyBorder="1" applyAlignment="1">
      <alignment horizontal="center" vertical="center" wrapText="1"/>
    </xf>
    <xf numFmtId="0" fontId="33" fillId="11" borderId="35" xfId="2" applyFont="1" applyFill="1" applyBorder="1" applyAlignment="1">
      <alignment horizontal="center" vertical="center" wrapText="1"/>
    </xf>
    <xf numFmtId="2" fontId="23" fillId="13" borderId="35" xfId="0" applyNumberFormat="1" applyFont="1" applyFill="1" applyBorder="1" applyAlignment="1">
      <alignment horizontal="center" vertical="center" wrapText="1"/>
    </xf>
    <xf numFmtId="0" fontId="30" fillId="2" borderId="35" xfId="0" applyFont="1" applyFill="1" applyBorder="1" applyAlignment="1">
      <alignment horizontal="center" vertical="center"/>
    </xf>
    <xf numFmtId="2" fontId="28" fillId="2" borderId="35" xfId="3" applyNumberFormat="1" applyFont="1" applyFill="1" applyBorder="1" applyAlignment="1">
      <alignment horizontal="center" vertical="center"/>
    </xf>
    <xf numFmtId="0" fontId="28" fillId="2" borderId="35" xfId="3" applyFont="1" applyFill="1" applyBorder="1" applyAlignment="1">
      <alignment horizontal="center" vertical="center"/>
    </xf>
    <xf numFmtId="2" fontId="0" fillId="2" borderId="35" xfId="0" applyNumberFormat="1" applyFont="1" applyFill="1" applyBorder="1" applyAlignment="1">
      <alignment horizontal="center" vertical="center"/>
    </xf>
    <xf numFmtId="0" fontId="30" fillId="0" borderId="35" xfId="0" applyFont="1" applyBorder="1" applyAlignment="1">
      <alignment horizontal="center" vertical="center"/>
    </xf>
    <xf numFmtId="2" fontId="28" fillId="0" borderId="35" xfId="3" applyNumberFormat="1" applyFont="1" applyBorder="1" applyAlignment="1">
      <alignment horizontal="center" vertical="center"/>
    </xf>
    <xf numFmtId="0" fontId="28" fillId="0" borderId="35" xfId="3" applyFont="1" applyBorder="1" applyAlignment="1">
      <alignment horizontal="center" vertical="center"/>
    </xf>
    <xf numFmtId="2" fontId="0" fillId="0" borderId="35" xfId="0" applyNumberFormat="1" applyFont="1" applyBorder="1" applyAlignment="1">
      <alignment horizontal="center" vertical="center"/>
    </xf>
    <xf numFmtId="2" fontId="29" fillId="0" borderId="35" xfId="3" applyNumberFormat="1" applyFont="1" applyBorder="1" applyAlignment="1">
      <alignment horizontal="center" vertical="center"/>
    </xf>
    <xf numFmtId="0" fontId="29" fillId="0" borderId="35" xfId="3" applyFont="1" applyBorder="1" applyAlignment="1">
      <alignment horizontal="center" vertical="center"/>
    </xf>
    <xf numFmtId="2" fontId="29" fillId="2" borderId="35" xfId="3" applyNumberFormat="1" applyFont="1" applyFill="1" applyBorder="1" applyAlignment="1">
      <alignment horizontal="center" vertical="center"/>
    </xf>
    <xf numFmtId="0" fontId="29" fillId="2" borderId="35" xfId="3" applyFont="1" applyFill="1" applyBorder="1" applyAlignment="1">
      <alignment horizontal="center" vertical="center"/>
    </xf>
    <xf numFmtId="0" fontId="0" fillId="0" borderId="0" xfId="0" applyBorder="1"/>
    <xf numFmtId="0" fontId="30" fillId="12" borderId="37" xfId="0" applyFont="1" applyFill="1" applyBorder="1" applyAlignment="1">
      <alignment horizontal="center" vertical="center"/>
    </xf>
    <xf numFmtId="0" fontId="28" fillId="12" borderId="36" xfId="3" applyFont="1" applyFill="1" applyBorder="1" applyAlignment="1">
      <alignment horizontal="center" vertical="center"/>
    </xf>
    <xf numFmtId="0" fontId="28" fillId="12" borderId="38" xfId="3" applyFont="1" applyFill="1" applyBorder="1" applyAlignment="1">
      <alignment horizontal="center" vertical="center"/>
    </xf>
    <xf numFmtId="0" fontId="30" fillId="12" borderId="40" xfId="0" applyFont="1" applyFill="1" applyBorder="1" applyAlignment="1">
      <alignment horizontal="center" vertical="center"/>
    </xf>
    <xf numFmtId="0" fontId="30" fillId="12" borderId="39" xfId="0" applyFont="1" applyFill="1" applyBorder="1" applyAlignment="1">
      <alignment horizontal="center" vertical="center"/>
    </xf>
    <xf numFmtId="0" fontId="24" fillId="10" borderId="30" xfId="2" applyFill="1" applyBorder="1" applyAlignment="1">
      <alignment horizontal="center" vertical="center" wrapText="1"/>
    </xf>
    <xf numFmtId="0" fontId="24" fillId="10" borderId="34" xfId="2" applyFill="1" applyBorder="1" applyAlignment="1">
      <alignment horizontal="center" vertical="center" wrapText="1"/>
    </xf>
    <xf numFmtId="0" fontId="36" fillId="14" borderId="40" xfId="0" applyFont="1" applyFill="1" applyBorder="1" applyAlignment="1">
      <alignment horizontal="center" vertical="center" wrapText="1"/>
    </xf>
    <xf numFmtId="0" fontId="36" fillId="14" borderId="32" xfId="0" applyFont="1" applyFill="1" applyBorder="1" applyAlignment="1">
      <alignment horizontal="center" vertical="center" wrapText="1"/>
    </xf>
    <xf numFmtId="0" fontId="30" fillId="0" borderId="37" xfId="0" applyFont="1" applyBorder="1" applyAlignment="1">
      <alignment horizontal="center" vertical="center"/>
    </xf>
    <xf numFmtId="0" fontId="29" fillId="0" borderId="36" xfId="3" applyFont="1" applyBorder="1" applyAlignment="1">
      <alignment horizontal="center" vertical="center"/>
    </xf>
    <xf numFmtId="0" fontId="29" fillId="0" borderId="38" xfId="3" applyFont="1" applyBorder="1" applyAlignment="1">
      <alignment horizontal="center" vertical="center"/>
    </xf>
    <xf numFmtId="0" fontId="30" fillId="0" borderId="38" xfId="0" applyFont="1" applyBorder="1" applyAlignment="1">
      <alignment horizontal="center" vertical="center"/>
    </xf>
    <xf numFmtId="11" fontId="30" fillId="0" borderId="37" xfId="0" applyNumberFormat="1" applyFont="1" applyBorder="1" applyAlignment="1">
      <alignment horizontal="center" vertical="center"/>
    </xf>
    <xf numFmtId="11" fontId="30" fillId="0" borderId="32" xfId="0" applyNumberFormat="1" applyFont="1" applyBorder="1" applyAlignment="1">
      <alignment horizontal="center" vertical="center"/>
    </xf>
    <xf numFmtId="0" fontId="9" fillId="0" borderId="32" xfId="0" applyFont="1" applyBorder="1" applyAlignment="1">
      <alignment horizontal="center" vertical="center"/>
    </xf>
    <xf numFmtId="0" fontId="0" fillId="0" borderId="0" xfId="0" applyFont="1"/>
    <xf numFmtId="0" fontId="28" fillId="0" borderId="36" xfId="3" applyFont="1" applyBorder="1" applyAlignment="1">
      <alignment horizontal="center" vertical="center"/>
    </xf>
    <xf numFmtId="0" fontId="28" fillId="0" borderId="38" xfId="3" applyFont="1" applyBorder="1" applyAlignment="1">
      <alignment horizontal="center" vertical="center"/>
    </xf>
    <xf numFmtId="0" fontId="2" fillId="0" borderId="0" xfId="0" applyFont="1" applyAlignment="1">
      <alignment horizontal="left" wrapText="1" indent="3"/>
    </xf>
    <xf numFmtId="0" fontId="2" fillId="0" borderId="0" xfId="0" applyFont="1" applyAlignment="1">
      <alignment horizontal="left" wrapText="1" indent="4"/>
    </xf>
    <xf numFmtId="0" fontId="0" fillId="0" borderId="0" xfId="0" applyAlignment="1">
      <alignment horizontal="left" wrapText="1" indent="4"/>
    </xf>
    <xf numFmtId="0" fontId="19" fillId="0" borderId="0" xfId="0" applyFont="1" applyAlignment="1">
      <alignment horizontal="left" vertical="center" wrapText="1"/>
    </xf>
    <xf numFmtId="0" fontId="0" fillId="9" borderId="0" xfId="0" applyFill="1" applyAlignment="1">
      <alignment horizontal="right"/>
    </xf>
    <xf numFmtId="0" fontId="0" fillId="0" borderId="0" xfId="0" applyAlignment="1">
      <alignment horizontal="left" vertical="center" wrapText="1"/>
    </xf>
    <xf numFmtId="0" fontId="0" fillId="0" borderId="0" xfId="0" applyAlignment="1">
      <alignment horizontal="left" vertical="top" wrapText="1"/>
    </xf>
    <xf numFmtId="0" fontId="0" fillId="0" borderId="0" xfId="0" applyAlignment="1">
      <alignment horizontal="left" vertical="top"/>
    </xf>
    <xf numFmtId="0" fontId="0" fillId="0" borderId="0" xfId="0" applyAlignment="1">
      <alignment horizontal="left"/>
    </xf>
    <xf numFmtId="0" fontId="23" fillId="8" borderId="0" xfId="0" applyFont="1" applyFill="1" applyBorder="1" applyAlignment="1">
      <alignment horizontal="center" vertical="center" wrapText="1"/>
    </xf>
    <xf numFmtId="0" fontId="38" fillId="0" borderId="0" xfId="0" applyFont="1"/>
    <xf numFmtId="0" fontId="0" fillId="15" borderId="0" xfId="0" applyFill="1"/>
    <xf numFmtId="0" fontId="0" fillId="0" borderId="0" xfId="0" applyAlignment="1">
      <alignment horizontal="right"/>
    </xf>
    <xf numFmtId="0" fontId="0" fillId="16" borderId="0" xfId="0" applyFill="1"/>
    <xf numFmtId="0" fontId="39" fillId="17" borderId="0" xfId="0" applyFont="1" applyFill="1"/>
    <xf numFmtId="0" fontId="35" fillId="0" borderId="0" xfId="0" applyFont="1" applyAlignment="1">
      <alignment vertical="top"/>
    </xf>
    <xf numFmtId="11" fontId="30" fillId="0" borderId="31" xfId="0" applyNumberFormat="1" applyFont="1" applyBorder="1" applyAlignment="1">
      <alignment horizontal="center" vertical="center"/>
    </xf>
    <xf numFmtId="0" fontId="0" fillId="0" borderId="42" xfId="0" applyFont="1" applyBorder="1"/>
    <xf numFmtId="0" fontId="0" fillId="0" borderId="41" xfId="0" applyFont="1" applyBorder="1"/>
    <xf numFmtId="0" fontId="28" fillId="0" borderId="32" xfId="3" applyFont="1" applyBorder="1" applyAlignment="1">
      <alignment horizontal="center" vertical="center"/>
    </xf>
    <xf numFmtId="0" fontId="29" fillId="0" borderId="32" xfId="3" applyFont="1" applyBorder="1" applyAlignment="1">
      <alignment horizontal="center" vertical="center"/>
    </xf>
    <xf numFmtId="0" fontId="29" fillId="0" borderId="31" xfId="3" applyFont="1" applyBorder="1" applyAlignment="1">
      <alignment horizontal="center" vertical="center"/>
    </xf>
    <xf numFmtId="0" fontId="0" fillId="0" borderId="43" xfId="0" applyBorder="1"/>
    <xf numFmtId="0" fontId="0" fillId="0" borderId="29" xfId="0" applyBorder="1" applyAlignment="1">
      <alignment horizontal="center" vertical="center"/>
    </xf>
    <xf numFmtId="11" fontId="0" fillId="0" borderId="31" xfId="0" applyNumberFormat="1" applyBorder="1" applyAlignment="1">
      <alignment horizontal="center" vertical="center"/>
    </xf>
    <xf numFmtId="0" fontId="0" fillId="0" borderId="31" xfId="0" applyBorder="1" applyAlignment="1">
      <alignment horizontal="center" vertical="center"/>
    </xf>
    <xf numFmtId="0" fontId="0" fillId="0" borderId="33" xfId="0" applyBorder="1" applyAlignment="1">
      <alignment horizontal="center" vertical="center"/>
    </xf>
    <xf numFmtId="0" fontId="0" fillId="0" borderId="44" xfId="0" applyBorder="1" applyAlignment="1">
      <alignment horizontal="center" vertical="center"/>
    </xf>
    <xf numFmtId="0" fontId="0" fillId="0" borderId="41" xfId="0" applyBorder="1"/>
    <xf numFmtId="0" fontId="28" fillId="0" borderId="29" xfId="3" applyFont="1" applyBorder="1" applyAlignment="1">
      <alignment horizontal="center" vertical="center"/>
    </xf>
    <xf numFmtId="0" fontId="28" fillId="0" borderId="33" xfId="3" applyFont="1" applyBorder="1" applyAlignment="1">
      <alignment horizontal="center" vertical="center"/>
    </xf>
  </cellXfs>
  <cellStyles count="5">
    <cellStyle name="20% - Accent4" xfId="1" builtinId="42"/>
    <cellStyle name="Accent5" xfId="4" builtinId="45"/>
    <cellStyle name="Bad" xfId="2" builtinId="27"/>
    <cellStyle name="Normal" xfId="0" builtinId="0"/>
    <cellStyle name="Warning Text" xfId="3" builtinId="11"/>
  </cellStyles>
  <dxfs count="0"/>
  <tableStyles count="0" defaultTableStyle="TableStyleMedium2" defaultPivotStyle="PivotStyleLight16"/>
  <colors>
    <mruColors>
      <color rgb="FFF6FCA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200" b="0"/>
              <a:t>Chart 1: Transport of decreasing amount of grain with Increasing number of camels</a:t>
            </a:r>
          </a:p>
        </c:rich>
      </c:tx>
      <c:layout>
        <c:manualLayout>
          <c:xMode val="edge"/>
          <c:yMode val="edge"/>
          <c:x val="0.11474789003971245"/>
          <c:y val="1.7768135539239997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1"/>
          <c:tx>
            <c:v>1 camel load</c:v>
          </c:tx>
          <c:spPr>
            <a:solidFill>
              <a:schemeClr val="accent1">
                <a:alpha val="60000"/>
              </a:schemeClr>
            </a:solidFill>
            <a:ln>
              <a:solidFill>
                <a:schemeClr val="accent1"/>
              </a:solidFill>
            </a:ln>
            <a:effectLst/>
          </c:spPr>
          <c:invertIfNegative val="0"/>
          <c:cat>
            <c:numRef>
              <c:f>DATA!$A$8:$A$17</c:f>
              <c:numCache>
                <c:formatCode>General</c:formatCode>
                <c:ptCount val="10"/>
                <c:pt idx="0">
                  <c:v>0</c:v>
                </c:pt>
                <c:pt idx="1">
                  <c:v>1</c:v>
                </c:pt>
                <c:pt idx="2">
                  <c:v>2</c:v>
                </c:pt>
                <c:pt idx="3">
                  <c:v>3</c:v>
                </c:pt>
                <c:pt idx="4">
                  <c:v>4</c:v>
                </c:pt>
                <c:pt idx="5">
                  <c:v>5</c:v>
                </c:pt>
                <c:pt idx="6">
                  <c:v>6</c:v>
                </c:pt>
                <c:pt idx="7">
                  <c:v>7</c:v>
                </c:pt>
                <c:pt idx="8">
                  <c:v>8</c:v>
                </c:pt>
                <c:pt idx="9">
                  <c:v>9</c:v>
                </c:pt>
              </c:numCache>
            </c:numRef>
          </c:cat>
          <c:val>
            <c:numRef>
              <c:f>DATA!$C$8:$C$17</c:f>
              <c:numCache>
                <c:formatCode>0.00</c:formatCode>
                <c:ptCount val="10"/>
                <c:pt idx="0">
                  <c:v>10000</c:v>
                </c:pt>
                <c:pt idx="1">
                  <c:v>9000</c:v>
                </c:pt>
                <c:pt idx="2">
                  <c:v>8000</c:v>
                </c:pt>
                <c:pt idx="3">
                  <c:v>7000</c:v>
                </c:pt>
                <c:pt idx="4">
                  <c:v>6000</c:v>
                </c:pt>
                <c:pt idx="5">
                  <c:v>5000</c:v>
                </c:pt>
                <c:pt idx="6">
                  <c:v>4000</c:v>
                </c:pt>
                <c:pt idx="7">
                  <c:v>3000</c:v>
                </c:pt>
                <c:pt idx="8">
                  <c:v>2000</c:v>
                </c:pt>
                <c:pt idx="9">
                  <c:v>1399.77</c:v>
                </c:pt>
              </c:numCache>
            </c:numRef>
          </c:val>
          <c:extLst>
            <c:ext xmlns:c16="http://schemas.microsoft.com/office/drawing/2014/chart" uri="{C3380CC4-5D6E-409C-BE32-E72D297353CC}">
              <c16:uniqueId val="{00000000-3660-416A-B30B-1563AF9299AD}"/>
            </c:ext>
          </c:extLst>
        </c:ser>
        <c:ser>
          <c:idx val="3"/>
          <c:order val="3"/>
          <c:tx>
            <c:v>2 camel load</c:v>
          </c:tx>
          <c:spPr>
            <a:solidFill>
              <a:schemeClr val="accent4">
                <a:alpha val="60000"/>
              </a:schemeClr>
            </a:solidFill>
            <a:ln>
              <a:solidFill>
                <a:schemeClr val="accent1"/>
              </a:solidFill>
            </a:ln>
            <a:effectLst/>
          </c:spPr>
          <c:invertIfNegative val="0"/>
          <c:val>
            <c:numRef>
              <c:f>DATA!$E$8:$E$16</c:f>
              <c:numCache>
                <c:formatCode>0.00</c:formatCode>
                <c:ptCount val="9"/>
                <c:pt idx="0">
                  <c:v>9000</c:v>
                </c:pt>
                <c:pt idx="1">
                  <c:v>8000</c:v>
                </c:pt>
                <c:pt idx="2">
                  <c:v>7000</c:v>
                </c:pt>
                <c:pt idx="3">
                  <c:v>6000</c:v>
                </c:pt>
                <c:pt idx="4">
                  <c:v>5000</c:v>
                </c:pt>
                <c:pt idx="5">
                  <c:v>4000</c:v>
                </c:pt>
                <c:pt idx="6">
                  <c:v>3000</c:v>
                </c:pt>
                <c:pt idx="7">
                  <c:v>2000</c:v>
                </c:pt>
                <c:pt idx="8">
                  <c:v>1717.86</c:v>
                </c:pt>
              </c:numCache>
            </c:numRef>
          </c:val>
          <c:extLst>
            <c:ext xmlns:c16="http://schemas.microsoft.com/office/drawing/2014/chart" uri="{C3380CC4-5D6E-409C-BE32-E72D297353CC}">
              <c16:uniqueId val="{00000001-3660-416A-B30B-1563AF9299AD}"/>
            </c:ext>
          </c:extLst>
        </c:ser>
        <c:ser>
          <c:idx val="5"/>
          <c:order val="5"/>
          <c:tx>
            <c:v>3 camel load</c:v>
          </c:tx>
          <c:spPr>
            <a:solidFill>
              <a:schemeClr val="accent6">
                <a:alpha val="60000"/>
              </a:schemeClr>
            </a:solidFill>
            <a:ln>
              <a:solidFill>
                <a:schemeClr val="accent1"/>
              </a:solidFill>
            </a:ln>
            <a:effectLst/>
          </c:spPr>
          <c:invertIfNegative val="0"/>
          <c:val>
            <c:numRef>
              <c:f>DATA!$G$8:$G$15</c:f>
              <c:numCache>
                <c:formatCode>0.00</c:formatCode>
                <c:ptCount val="8"/>
                <c:pt idx="0">
                  <c:v>8000</c:v>
                </c:pt>
                <c:pt idx="1">
                  <c:v>7000</c:v>
                </c:pt>
                <c:pt idx="2">
                  <c:v>6000</c:v>
                </c:pt>
                <c:pt idx="3">
                  <c:v>5000</c:v>
                </c:pt>
                <c:pt idx="4">
                  <c:v>4000</c:v>
                </c:pt>
                <c:pt idx="5">
                  <c:v>3000</c:v>
                </c:pt>
                <c:pt idx="6">
                  <c:v>2000</c:v>
                </c:pt>
                <c:pt idx="7">
                  <c:v>1910.27</c:v>
                </c:pt>
              </c:numCache>
            </c:numRef>
          </c:val>
          <c:extLst>
            <c:ext xmlns:c16="http://schemas.microsoft.com/office/drawing/2014/chart" uri="{C3380CC4-5D6E-409C-BE32-E72D297353CC}">
              <c16:uniqueId val="{00000002-3660-416A-B30B-1563AF9299AD}"/>
            </c:ext>
          </c:extLst>
        </c:ser>
        <c:ser>
          <c:idx val="7"/>
          <c:order val="7"/>
          <c:tx>
            <c:v>4 camel load</c:v>
          </c:tx>
          <c:spPr>
            <a:solidFill>
              <a:schemeClr val="accent2">
                <a:alpha val="60000"/>
              </a:schemeClr>
            </a:solidFill>
            <a:ln>
              <a:solidFill>
                <a:schemeClr val="accent6"/>
              </a:solidFill>
            </a:ln>
            <a:effectLst/>
          </c:spPr>
          <c:invertIfNegative val="0"/>
          <c:val>
            <c:numRef>
              <c:f>DATA!$I$8:$I$14</c:f>
              <c:numCache>
                <c:formatCode>0.00</c:formatCode>
                <c:ptCount val="7"/>
                <c:pt idx="0">
                  <c:v>7000</c:v>
                </c:pt>
                <c:pt idx="1">
                  <c:v>6000</c:v>
                </c:pt>
                <c:pt idx="2">
                  <c:v>5000</c:v>
                </c:pt>
                <c:pt idx="3">
                  <c:v>4000</c:v>
                </c:pt>
                <c:pt idx="4">
                  <c:v>3000</c:v>
                </c:pt>
                <c:pt idx="5">
                  <c:v>2000</c:v>
                </c:pt>
                <c:pt idx="6">
                  <c:v>1950</c:v>
                </c:pt>
              </c:numCache>
            </c:numRef>
          </c:val>
          <c:extLst>
            <c:ext xmlns:c16="http://schemas.microsoft.com/office/drawing/2014/chart" uri="{C3380CC4-5D6E-409C-BE32-E72D297353CC}">
              <c16:uniqueId val="{00000003-3660-416A-B30B-1563AF9299AD}"/>
            </c:ext>
          </c:extLst>
        </c:ser>
        <c:ser>
          <c:idx val="9"/>
          <c:order val="9"/>
          <c:tx>
            <c:v>5 camel load</c:v>
          </c:tx>
          <c:spPr>
            <a:solidFill>
              <a:srgbClr val="7030A0">
                <a:alpha val="60000"/>
              </a:srgbClr>
            </a:solidFill>
            <a:ln>
              <a:solidFill>
                <a:schemeClr val="accent6"/>
              </a:solidFill>
            </a:ln>
            <a:effectLst/>
          </c:spPr>
          <c:invertIfNegative val="0"/>
          <c:val>
            <c:numRef>
              <c:f>DATA!$K$8:$K$13</c:f>
              <c:numCache>
                <c:formatCode>0.00</c:formatCode>
                <c:ptCount val="6"/>
                <c:pt idx="0">
                  <c:v>6000</c:v>
                </c:pt>
                <c:pt idx="1">
                  <c:v>5000</c:v>
                </c:pt>
                <c:pt idx="2">
                  <c:v>4000</c:v>
                </c:pt>
                <c:pt idx="3">
                  <c:v>3000</c:v>
                </c:pt>
                <c:pt idx="4">
                  <c:v>2000</c:v>
                </c:pt>
                <c:pt idx="5">
                  <c:v>1852.38</c:v>
                </c:pt>
              </c:numCache>
            </c:numRef>
          </c:val>
          <c:extLst>
            <c:ext xmlns:c16="http://schemas.microsoft.com/office/drawing/2014/chart" uri="{C3380CC4-5D6E-409C-BE32-E72D297353CC}">
              <c16:uniqueId val="{00000004-3660-416A-B30B-1563AF9299AD}"/>
            </c:ext>
          </c:extLst>
        </c:ser>
        <c:dLbls>
          <c:showLegendKey val="0"/>
          <c:showVal val="0"/>
          <c:showCatName val="0"/>
          <c:showSerName val="0"/>
          <c:showPercent val="0"/>
          <c:showBubbleSize val="0"/>
        </c:dLbls>
        <c:gapWidth val="150"/>
        <c:axId val="467464272"/>
        <c:axId val="467472472"/>
      </c:barChart>
      <c:lineChart>
        <c:grouping val="standard"/>
        <c:varyColors val="0"/>
        <c:ser>
          <c:idx val="0"/>
          <c:order val="0"/>
          <c:tx>
            <c:v>1 camel distance</c:v>
          </c:tx>
          <c:spPr>
            <a:ln w="28575" cap="rnd">
              <a:solidFill>
                <a:schemeClr val="accent1"/>
              </a:solidFill>
              <a:round/>
            </a:ln>
            <a:effectLst/>
          </c:spPr>
          <c:marker>
            <c:symbol val="none"/>
          </c:marker>
          <c:cat>
            <c:numRef>
              <c:f>DATA!$A$8:$A$17</c:f>
              <c:numCache>
                <c:formatCode>General</c:formatCode>
                <c:ptCount val="10"/>
                <c:pt idx="0">
                  <c:v>0</c:v>
                </c:pt>
                <c:pt idx="1">
                  <c:v>1</c:v>
                </c:pt>
                <c:pt idx="2">
                  <c:v>2</c:v>
                </c:pt>
                <c:pt idx="3">
                  <c:v>3</c:v>
                </c:pt>
                <c:pt idx="4">
                  <c:v>4</c:v>
                </c:pt>
                <c:pt idx="5">
                  <c:v>5</c:v>
                </c:pt>
                <c:pt idx="6">
                  <c:v>6</c:v>
                </c:pt>
                <c:pt idx="7">
                  <c:v>7</c:v>
                </c:pt>
                <c:pt idx="8">
                  <c:v>8</c:v>
                </c:pt>
                <c:pt idx="9">
                  <c:v>9</c:v>
                </c:pt>
              </c:numCache>
            </c:numRef>
          </c:cat>
          <c:val>
            <c:numRef>
              <c:f>DATA!$B$8:$B$17</c:f>
              <c:numCache>
                <c:formatCode>0.00</c:formatCode>
                <c:ptCount val="10"/>
                <c:pt idx="0">
                  <c:v>0</c:v>
                </c:pt>
                <c:pt idx="1">
                  <c:v>52.631578947368418</c:v>
                </c:pt>
                <c:pt idx="2">
                  <c:v>111.45510835913312</c:v>
                </c:pt>
                <c:pt idx="3">
                  <c:v>178.12177502579979</c:v>
                </c:pt>
                <c:pt idx="4">
                  <c:v>255.04485194887673</c:v>
                </c:pt>
                <c:pt idx="5">
                  <c:v>345.9539428579676</c:v>
                </c:pt>
                <c:pt idx="6">
                  <c:v>457.06505396907869</c:v>
                </c:pt>
                <c:pt idx="7">
                  <c:v>599.92219682622158</c:v>
                </c:pt>
                <c:pt idx="8">
                  <c:v>799.92219682622158</c:v>
                </c:pt>
                <c:pt idx="9">
                  <c:v>1000</c:v>
                </c:pt>
              </c:numCache>
            </c:numRef>
          </c:val>
          <c:smooth val="0"/>
          <c:extLst>
            <c:ext xmlns:c16="http://schemas.microsoft.com/office/drawing/2014/chart" uri="{C3380CC4-5D6E-409C-BE32-E72D297353CC}">
              <c16:uniqueId val="{00000005-3660-416A-B30B-1563AF9299AD}"/>
            </c:ext>
          </c:extLst>
        </c:ser>
        <c:ser>
          <c:idx val="2"/>
          <c:order val="2"/>
          <c:tx>
            <c:v>2 camel distance</c:v>
          </c:tx>
          <c:spPr>
            <a:ln w="28575" cap="rnd">
              <a:solidFill>
                <a:schemeClr val="accent4"/>
              </a:solidFill>
              <a:round/>
            </a:ln>
            <a:effectLst/>
          </c:spPr>
          <c:marker>
            <c:symbol val="none"/>
          </c:marker>
          <c:val>
            <c:numRef>
              <c:f>DATA!$D$8:$D$16</c:f>
              <c:numCache>
                <c:formatCode>0.00</c:formatCode>
                <c:ptCount val="9"/>
                <c:pt idx="0">
                  <c:v>0</c:v>
                </c:pt>
                <c:pt idx="1">
                  <c:v>62.5</c:v>
                </c:pt>
                <c:pt idx="2">
                  <c:v>133.92857142857144</c:v>
                </c:pt>
                <c:pt idx="3">
                  <c:v>217.26190476190476</c:v>
                </c:pt>
                <c:pt idx="4">
                  <c:v>317.26190476190476</c:v>
                </c:pt>
                <c:pt idx="5">
                  <c:v>442.26190476190476</c:v>
                </c:pt>
                <c:pt idx="6">
                  <c:v>608.92857142857144</c:v>
                </c:pt>
                <c:pt idx="7">
                  <c:v>858.92857142857144</c:v>
                </c:pt>
                <c:pt idx="8">
                  <c:v>1000</c:v>
                </c:pt>
              </c:numCache>
            </c:numRef>
          </c:val>
          <c:smooth val="0"/>
          <c:extLst>
            <c:ext xmlns:c16="http://schemas.microsoft.com/office/drawing/2014/chart" uri="{C3380CC4-5D6E-409C-BE32-E72D297353CC}">
              <c16:uniqueId val="{00000006-3660-416A-B30B-1563AF9299AD}"/>
            </c:ext>
          </c:extLst>
        </c:ser>
        <c:ser>
          <c:idx val="4"/>
          <c:order val="4"/>
          <c:tx>
            <c:v>3 camel distance</c:v>
          </c:tx>
          <c:spPr>
            <a:ln w="28575" cap="rnd">
              <a:solidFill>
                <a:schemeClr val="accent6"/>
              </a:solidFill>
              <a:round/>
            </a:ln>
            <a:effectLst/>
          </c:spPr>
          <c:marker>
            <c:symbol val="none"/>
          </c:marker>
          <c:val>
            <c:numRef>
              <c:f>DATA!$F$8:$F$15</c:f>
              <c:numCache>
                <c:formatCode>0.00</c:formatCode>
                <c:ptCount val="8"/>
                <c:pt idx="0">
                  <c:v>0</c:v>
                </c:pt>
                <c:pt idx="1">
                  <c:v>76.92307692307692</c:v>
                </c:pt>
                <c:pt idx="2">
                  <c:v>167.83216783216784</c:v>
                </c:pt>
                <c:pt idx="3">
                  <c:v>278.94327894327898</c:v>
                </c:pt>
                <c:pt idx="4">
                  <c:v>421.80042180042187</c:v>
                </c:pt>
                <c:pt idx="5">
                  <c:v>621.80042180042187</c:v>
                </c:pt>
                <c:pt idx="6">
                  <c:v>955.13375513375513</c:v>
                </c:pt>
                <c:pt idx="7">
                  <c:v>1000</c:v>
                </c:pt>
              </c:numCache>
            </c:numRef>
          </c:val>
          <c:smooth val="0"/>
          <c:extLst>
            <c:ext xmlns:c16="http://schemas.microsoft.com/office/drawing/2014/chart" uri="{C3380CC4-5D6E-409C-BE32-E72D297353CC}">
              <c16:uniqueId val="{00000007-3660-416A-B30B-1563AF9299AD}"/>
            </c:ext>
          </c:extLst>
        </c:ser>
        <c:ser>
          <c:idx val="6"/>
          <c:order val="6"/>
          <c:tx>
            <c:v>4 camel distance</c:v>
          </c:tx>
          <c:spPr>
            <a:ln w="28575" cap="rnd">
              <a:solidFill>
                <a:schemeClr val="accent2"/>
              </a:solidFill>
              <a:round/>
            </a:ln>
            <a:effectLst/>
          </c:spPr>
          <c:marker>
            <c:symbol val="none"/>
          </c:marker>
          <c:val>
            <c:numRef>
              <c:f>DATA!$H$8:$H$14</c:f>
              <c:numCache>
                <c:formatCode>0.00</c:formatCode>
                <c:ptCount val="7"/>
                <c:pt idx="0">
                  <c:v>0</c:v>
                </c:pt>
                <c:pt idx="1">
                  <c:v>100</c:v>
                </c:pt>
                <c:pt idx="2">
                  <c:v>225</c:v>
                </c:pt>
                <c:pt idx="3">
                  <c:v>391.66666666666663</c:v>
                </c:pt>
                <c:pt idx="4">
                  <c:v>641.66666666666663</c:v>
                </c:pt>
                <c:pt idx="5">
                  <c:v>975</c:v>
                </c:pt>
                <c:pt idx="6">
                  <c:v>1000</c:v>
                </c:pt>
              </c:numCache>
            </c:numRef>
          </c:val>
          <c:smooth val="0"/>
          <c:extLst>
            <c:ext xmlns:c16="http://schemas.microsoft.com/office/drawing/2014/chart" uri="{C3380CC4-5D6E-409C-BE32-E72D297353CC}">
              <c16:uniqueId val="{00000008-3660-416A-B30B-1563AF9299AD}"/>
            </c:ext>
          </c:extLst>
        </c:ser>
        <c:ser>
          <c:idx val="8"/>
          <c:order val="8"/>
          <c:tx>
            <c:v>5 camel distance</c:v>
          </c:tx>
          <c:spPr>
            <a:ln w="28575" cap="rnd">
              <a:solidFill>
                <a:srgbClr val="7030A0"/>
              </a:solidFill>
              <a:round/>
            </a:ln>
            <a:effectLst/>
          </c:spPr>
          <c:marker>
            <c:symbol val="none"/>
          </c:marker>
          <c:val>
            <c:numRef>
              <c:f>DATA!$J$8:$J$13</c:f>
              <c:numCache>
                <c:formatCode>0.00</c:formatCode>
                <c:ptCount val="6"/>
                <c:pt idx="0">
                  <c:v>0</c:v>
                </c:pt>
                <c:pt idx="1">
                  <c:v>142.85714285714286</c:v>
                </c:pt>
                <c:pt idx="2">
                  <c:v>342.85714285714289</c:v>
                </c:pt>
                <c:pt idx="3">
                  <c:v>592.85714285714289</c:v>
                </c:pt>
                <c:pt idx="4">
                  <c:v>926.19047619047615</c:v>
                </c:pt>
                <c:pt idx="5">
                  <c:v>1000</c:v>
                </c:pt>
              </c:numCache>
            </c:numRef>
          </c:val>
          <c:smooth val="0"/>
          <c:extLst>
            <c:ext xmlns:c16="http://schemas.microsoft.com/office/drawing/2014/chart" uri="{C3380CC4-5D6E-409C-BE32-E72D297353CC}">
              <c16:uniqueId val="{00000009-3660-416A-B30B-1563AF9299AD}"/>
            </c:ext>
          </c:extLst>
        </c:ser>
        <c:dLbls>
          <c:showLegendKey val="0"/>
          <c:showVal val="0"/>
          <c:showCatName val="0"/>
          <c:showSerName val="0"/>
          <c:showPercent val="0"/>
          <c:showBubbleSize val="0"/>
        </c:dLbls>
        <c:marker val="1"/>
        <c:smooth val="0"/>
        <c:axId val="373911920"/>
        <c:axId val="373904376"/>
      </c:lineChart>
      <c:catAx>
        <c:axId val="46746427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solidFill>
                    <a:latin typeface="+mn-lt"/>
                    <a:ea typeface="+mn-ea"/>
                    <a:cs typeface="+mn-cs"/>
                  </a:defRPr>
                </a:pPr>
                <a:r>
                  <a:rPr lang="en-US" sz="1200" b="0">
                    <a:solidFill>
                      <a:schemeClr val="tx1"/>
                    </a:solidFill>
                  </a:rPr>
                  <a:t>loading stops</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n-US"/>
          </a:p>
        </c:txPr>
        <c:crossAx val="467472472"/>
        <c:crosses val="autoZero"/>
        <c:auto val="1"/>
        <c:lblAlgn val="ctr"/>
        <c:lblOffset val="100"/>
        <c:noMultiLvlLbl val="0"/>
      </c:catAx>
      <c:valAx>
        <c:axId val="467472472"/>
        <c:scaling>
          <c:orientation val="minMax"/>
          <c:max val="10000"/>
        </c:scaling>
        <c:delete val="0"/>
        <c:axPos val="l"/>
        <c:majorGridlines>
          <c:spPr>
            <a:ln w="9525" cap="flat" cmpd="sng" algn="ctr">
              <a:solidFill>
                <a:schemeClr val="accent6"/>
              </a:solidFill>
              <a:round/>
            </a:ln>
            <a:effectLst/>
          </c:spPr>
        </c:majorGridlines>
        <c:title>
          <c:tx>
            <c:rich>
              <a:bodyPr rot="-5400000" spcFirstLastPara="1" vertOverflow="ellipsis" vert="horz" wrap="square" anchor="ctr" anchorCtr="1"/>
              <a:lstStyle/>
              <a:p>
                <a:pPr>
                  <a:defRPr sz="1100" b="0" i="0" u="none" strike="noStrike" kern="1200" baseline="0">
                    <a:solidFill>
                      <a:srgbClr val="FF0000"/>
                    </a:solidFill>
                    <a:latin typeface="Arial" panose="020B0604020202020204" pitchFamily="34" charset="0"/>
                    <a:ea typeface="+mn-ea"/>
                    <a:cs typeface="Arial" panose="020B0604020202020204" pitchFamily="34" charset="0"/>
                  </a:defRPr>
                </a:pPr>
                <a:r>
                  <a:rPr lang="en-US" sz="1100" b="0">
                    <a:solidFill>
                      <a:srgbClr val="FF0000"/>
                    </a:solidFill>
                    <a:latin typeface="Arial" panose="020B0604020202020204" pitchFamily="34" charset="0"/>
                    <a:cs typeface="Arial" panose="020B0604020202020204" pitchFamily="34" charset="0"/>
                  </a:rPr>
                  <a:t>Grain Load (lb.)</a:t>
                </a:r>
              </a:p>
            </c:rich>
          </c:tx>
          <c:overlay val="0"/>
          <c:spPr>
            <a:noFill/>
            <a:ln>
              <a:noFill/>
            </a:ln>
            <a:effectLst/>
          </c:spPr>
          <c:txPr>
            <a:bodyPr rot="-5400000" spcFirstLastPara="1" vertOverflow="ellipsis" vert="horz" wrap="square" anchor="ctr" anchorCtr="1"/>
            <a:lstStyle/>
            <a:p>
              <a:pPr>
                <a:defRPr sz="1100" b="0" i="0" u="none" strike="noStrike" kern="1200" baseline="0">
                  <a:solidFill>
                    <a:srgbClr val="FF0000"/>
                  </a:solidFill>
                  <a:latin typeface="Arial" panose="020B0604020202020204" pitchFamily="34" charset="0"/>
                  <a:ea typeface="+mn-ea"/>
                  <a:cs typeface="Arial" panose="020B0604020202020204" pitchFamily="34" charset="0"/>
                </a:defRPr>
              </a:pPr>
              <a:endParaRPr lang="en-US"/>
            </a:p>
          </c:txPr>
        </c:title>
        <c:numFmt formatCode="0" sourceLinked="0"/>
        <c:majorTickMark val="out"/>
        <c:minorTickMark val="out"/>
        <c:tickLblPos val="nextTo"/>
        <c:spPr>
          <a:noFill/>
          <a:ln>
            <a:solidFill>
              <a:schemeClr val="accent1"/>
            </a:solidFill>
          </a:ln>
          <a:effectLst/>
        </c:spPr>
        <c:txPr>
          <a:bodyPr rot="-60000000" spcFirstLastPara="1" vertOverflow="ellipsis" vert="horz" wrap="square" anchor="ctr" anchorCtr="1"/>
          <a:lstStyle/>
          <a:p>
            <a:pPr>
              <a:defRPr sz="1100" b="0" i="0" u="none" strike="noStrike" kern="1200" baseline="0">
                <a:solidFill>
                  <a:srgbClr val="FF0000"/>
                </a:solidFill>
                <a:latin typeface="+mn-lt"/>
                <a:ea typeface="+mn-ea"/>
                <a:cs typeface="+mn-cs"/>
              </a:defRPr>
            </a:pPr>
            <a:endParaRPr lang="en-US"/>
          </a:p>
        </c:txPr>
        <c:crossAx val="467464272"/>
        <c:crosses val="autoZero"/>
        <c:crossBetween val="between"/>
        <c:majorUnit val="1000"/>
        <c:minorUnit val="500"/>
      </c:valAx>
      <c:valAx>
        <c:axId val="373904376"/>
        <c:scaling>
          <c:orientation val="minMax"/>
          <c:max val="1000"/>
        </c:scaling>
        <c:delete val="0"/>
        <c:axPos val="r"/>
        <c:title>
          <c:tx>
            <c:rich>
              <a:bodyPr rot="-5400000" spcFirstLastPara="1" vertOverflow="ellipsis" vert="horz" wrap="square" anchor="ctr" anchorCtr="1"/>
              <a:lstStyle/>
              <a:p>
                <a:pPr>
                  <a:defRPr sz="1100" b="0" i="0" u="none" strike="noStrike" kern="1200" baseline="0">
                    <a:solidFill>
                      <a:schemeClr val="accent1"/>
                    </a:solidFill>
                    <a:latin typeface="Arial" panose="020B0604020202020204" pitchFamily="34" charset="0"/>
                    <a:ea typeface="+mn-ea"/>
                    <a:cs typeface="Arial" panose="020B0604020202020204" pitchFamily="34" charset="0"/>
                  </a:defRPr>
                </a:pPr>
                <a:r>
                  <a:rPr lang="en-US" sz="1100">
                    <a:solidFill>
                      <a:schemeClr val="accent1"/>
                    </a:solidFill>
                    <a:latin typeface="Arial" panose="020B0604020202020204" pitchFamily="34" charset="0"/>
                    <a:cs typeface="Arial" panose="020B0604020202020204" pitchFamily="34" charset="0"/>
                  </a:rPr>
                  <a:t>Distance (mi.) </a:t>
                </a:r>
              </a:p>
            </c:rich>
          </c:tx>
          <c:layout>
            <c:manualLayout>
              <c:xMode val="edge"/>
              <c:yMode val="edge"/>
              <c:x val="0.94460895781361609"/>
              <c:y val="0.38788690050107372"/>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chemeClr val="accent1"/>
                  </a:solidFill>
                  <a:latin typeface="Arial" panose="020B0604020202020204" pitchFamily="34" charset="0"/>
                  <a:ea typeface="+mn-ea"/>
                  <a:cs typeface="Arial" panose="020B0604020202020204" pitchFamily="34" charset="0"/>
                </a:defRPr>
              </a:pPr>
              <a:endParaRPr lang="en-US"/>
            </a:p>
          </c:txPr>
        </c:title>
        <c:numFmt formatCode="0" sourceLinked="0"/>
        <c:majorTickMark val="out"/>
        <c:minorTickMark val="out"/>
        <c:tickLblPos val="nextTo"/>
        <c:spPr>
          <a:noFill/>
          <a:ln>
            <a:solidFill>
              <a:schemeClr val="accent1"/>
            </a:solidFill>
          </a:ln>
          <a:effectLst/>
        </c:spPr>
        <c:txPr>
          <a:bodyPr rot="-60000000" spcFirstLastPara="1" vertOverflow="ellipsis" vert="horz" wrap="square" anchor="ctr" anchorCtr="1"/>
          <a:lstStyle/>
          <a:p>
            <a:pPr>
              <a:defRPr sz="1100" b="0" i="0" u="none" strike="noStrike" kern="1200" baseline="0">
                <a:solidFill>
                  <a:schemeClr val="accent1"/>
                </a:solidFill>
                <a:latin typeface="+mn-lt"/>
                <a:ea typeface="+mn-ea"/>
                <a:cs typeface="+mn-cs"/>
              </a:defRPr>
            </a:pPr>
            <a:endParaRPr lang="en-US"/>
          </a:p>
        </c:txPr>
        <c:crossAx val="373911920"/>
        <c:crosses val="max"/>
        <c:crossBetween val="between"/>
        <c:majorUnit val="125"/>
        <c:minorUnit val="125"/>
      </c:valAx>
      <c:catAx>
        <c:axId val="373911920"/>
        <c:scaling>
          <c:orientation val="minMax"/>
        </c:scaling>
        <c:delete val="1"/>
        <c:axPos val="b"/>
        <c:numFmt formatCode="General" sourceLinked="1"/>
        <c:majorTickMark val="out"/>
        <c:minorTickMark val="none"/>
        <c:tickLblPos val="nextTo"/>
        <c:crossAx val="373904376"/>
        <c:crosses val="autoZero"/>
        <c:auto val="1"/>
        <c:lblAlgn val="ctr"/>
        <c:lblOffset val="100"/>
        <c:noMultiLvlLbl val="0"/>
      </c:catAx>
      <c:spPr>
        <a:gradFill>
          <a:gsLst>
            <a:gs pos="0">
              <a:schemeClr val="accent1">
                <a:lumMod val="5000"/>
                <a:lumOff val="95000"/>
              </a:schemeClr>
            </a:gs>
            <a:gs pos="100000">
              <a:schemeClr val="accent1">
                <a:lumMod val="45000"/>
                <a:lumOff val="55000"/>
              </a:schemeClr>
            </a:gs>
            <a:gs pos="65000">
              <a:schemeClr val="accent1">
                <a:lumMod val="45000"/>
                <a:lumOff val="55000"/>
                <a:alpha val="90000"/>
              </a:schemeClr>
            </a:gs>
            <a:gs pos="39000">
              <a:schemeClr val="accent1">
                <a:lumMod val="30000"/>
                <a:lumOff val="70000"/>
              </a:schemeClr>
            </a:gs>
          </a:gsLst>
          <a:lin ang="5400000" scaled="1"/>
        </a:gradFill>
        <a:ln>
          <a:solidFill>
            <a:schemeClr val="accent6"/>
          </a:solid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accent4">
        <a:lumMod val="20000"/>
        <a:lumOff val="80000"/>
        <a:alpha val="8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l">
              <a:defRPr sz="1200" b="0" i="0" u="none" strike="noStrike" kern="1200" spc="0" baseline="0">
                <a:solidFill>
                  <a:schemeClr val="tx1">
                    <a:lumMod val="65000"/>
                    <a:lumOff val="35000"/>
                  </a:schemeClr>
                </a:solidFill>
                <a:latin typeface="+mn-lt"/>
                <a:ea typeface="+mn-ea"/>
                <a:cs typeface="+mn-cs"/>
              </a:defRPr>
            </a:pPr>
            <a:r>
              <a:rPr lang="en-US" sz="1200"/>
              <a:t>Chart 2: Delivery vs. Yield </a:t>
            </a:r>
          </a:p>
        </c:rich>
      </c:tx>
      <c:layout>
        <c:manualLayout>
          <c:xMode val="edge"/>
          <c:yMode val="edge"/>
          <c:x val="0.20127627627627628"/>
          <c:y val="4.1666666666666664E-2"/>
        </c:manualLayout>
      </c:layout>
      <c:overlay val="0"/>
      <c:spPr>
        <a:noFill/>
        <a:ln>
          <a:noFill/>
        </a:ln>
        <a:effectLst/>
      </c:spPr>
      <c:txPr>
        <a:bodyPr rot="0" spcFirstLastPara="1" vertOverflow="ellipsis" vert="horz" wrap="square" anchor="ctr" anchorCtr="1"/>
        <a:lstStyle/>
        <a:p>
          <a:pPr algn="l">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15875" cap="rnd">
              <a:solidFill>
                <a:schemeClr val="accent6">
                  <a:lumMod val="75000"/>
                  <a:alpha val="99000"/>
                </a:schemeClr>
              </a:solidFill>
              <a:round/>
            </a:ln>
            <a:effectLst/>
          </c:spPr>
          <c:marker>
            <c:symbol val="none"/>
          </c:marker>
          <c:cat>
            <c:numRef>
              <c:f>'Result 2'!$H$5:$H$14</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'Result 2'!$I$5:$I$14</c:f>
              <c:numCache>
                <c:formatCode>0.00</c:formatCode>
                <c:ptCount val="10"/>
                <c:pt idx="0">
                  <c:v>1399.7665904786647</c:v>
                </c:pt>
                <c:pt idx="1">
                  <c:v>1828.968253968254</c:v>
                </c:pt>
                <c:pt idx="2">
                  <c:v>2241.8718536365595</c:v>
                </c:pt>
                <c:pt idx="3">
                  <c:v>2576.7857142857142</c:v>
                </c:pt>
                <c:pt idx="4">
                  <c:v>2815.4012654012654</c:v>
                </c:pt>
                <c:pt idx="5">
                  <c:v>2989.2857142857142</c:v>
                </c:pt>
                <c:pt idx="6">
                  <c:v>3153.868353868354</c:v>
                </c:pt>
                <c:pt idx="7">
                  <c:v>3271.4285714285711</c:v>
                </c:pt>
                <c:pt idx="8">
                  <c:v>3346.1760461760459</c:v>
                </c:pt>
                <c:pt idx="9">
                  <c:v>3382.5396825396824</c:v>
                </c:pt>
              </c:numCache>
            </c:numRef>
          </c:val>
          <c:smooth val="0"/>
          <c:extLst>
            <c:ext xmlns:c16="http://schemas.microsoft.com/office/drawing/2014/chart" uri="{C3380CC4-5D6E-409C-BE32-E72D297353CC}">
              <c16:uniqueId val="{00000000-186C-4B4D-BD9C-C76931243B3F}"/>
            </c:ext>
          </c:extLst>
        </c:ser>
        <c:dLbls>
          <c:showLegendKey val="0"/>
          <c:showVal val="0"/>
          <c:showCatName val="0"/>
          <c:showSerName val="0"/>
          <c:showPercent val="0"/>
          <c:showBubbleSize val="0"/>
        </c:dLbls>
        <c:marker val="1"/>
        <c:smooth val="0"/>
        <c:axId val="478572736"/>
        <c:axId val="478564864"/>
      </c:lineChart>
      <c:lineChart>
        <c:grouping val="standard"/>
        <c:varyColors val="0"/>
        <c:ser>
          <c:idx val="1"/>
          <c:order val="1"/>
          <c:tx>
            <c:v>yield</c:v>
          </c:tx>
          <c:spPr>
            <a:ln w="19050" cap="rnd">
              <a:solidFill>
                <a:srgbClr val="FF0000"/>
              </a:solidFill>
              <a:round/>
            </a:ln>
            <a:effectLst/>
          </c:spPr>
          <c:marker>
            <c:symbol val="none"/>
          </c:marker>
          <c:cat>
            <c:numRef>
              <c:f>'Result 2'!$H$5:$H$14</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'Result 2'!$K$5:$K$14</c:f>
              <c:numCache>
                <c:formatCode>0.00</c:formatCode>
                <c:ptCount val="10"/>
                <c:pt idx="0">
                  <c:v>1399.7665904786647</c:v>
                </c:pt>
                <c:pt idx="1">
                  <c:v>914.48412698412699</c:v>
                </c:pt>
                <c:pt idx="2">
                  <c:v>747.29061787885314</c:v>
                </c:pt>
                <c:pt idx="3">
                  <c:v>644.19642857142856</c:v>
                </c:pt>
                <c:pt idx="4">
                  <c:v>563.0802530802531</c:v>
                </c:pt>
                <c:pt idx="5">
                  <c:v>498.21428571428572</c:v>
                </c:pt>
                <c:pt idx="6">
                  <c:v>450.55262198119345</c:v>
                </c:pt>
                <c:pt idx="7">
                  <c:v>408.92857142857139</c:v>
                </c:pt>
                <c:pt idx="8">
                  <c:v>371.79733846400512</c:v>
                </c:pt>
                <c:pt idx="9">
                  <c:v>338.25396825396825</c:v>
                </c:pt>
              </c:numCache>
            </c:numRef>
          </c:val>
          <c:smooth val="0"/>
          <c:extLst>
            <c:ext xmlns:c16="http://schemas.microsoft.com/office/drawing/2014/chart" uri="{C3380CC4-5D6E-409C-BE32-E72D297353CC}">
              <c16:uniqueId val="{00000000-23FA-49B3-80AF-600428FF81EA}"/>
            </c:ext>
          </c:extLst>
        </c:ser>
        <c:dLbls>
          <c:showLegendKey val="0"/>
          <c:showVal val="0"/>
          <c:showCatName val="0"/>
          <c:showSerName val="0"/>
          <c:showPercent val="0"/>
          <c:showBubbleSize val="0"/>
        </c:dLbls>
        <c:marker val="1"/>
        <c:smooth val="0"/>
        <c:axId val="467468864"/>
        <c:axId val="467465912"/>
      </c:lineChart>
      <c:catAx>
        <c:axId val="478572736"/>
        <c:scaling>
          <c:orientation val="minMax"/>
        </c:scaling>
        <c:delete val="0"/>
        <c:axPos val="b"/>
        <c:majorGridlines>
          <c:spPr>
            <a:ln w="9525" cap="flat" cmpd="sng" algn="ctr">
              <a:solidFill>
                <a:schemeClr val="bg1">
                  <a:lumMod val="50000"/>
                </a:schemeClr>
              </a:solidFill>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solidFill>
                      <a:sysClr val="windowText" lastClr="000000"/>
                    </a:solidFill>
                  </a:rPr>
                  <a:t>Number of camels</a:t>
                </a:r>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12700" cap="flat" cmpd="sng" algn="ctr">
            <a:solidFill>
              <a:schemeClr val="accent6">
                <a:lumMod val="50000"/>
              </a:schemeClr>
            </a:solidFill>
            <a:round/>
          </a:ln>
          <a:effectLst/>
        </c:spPr>
        <c:txPr>
          <a:bodyPr rot="-60000000" spcFirstLastPara="1" vertOverflow="ellipsis" vert="horz" wrap="square" anchor="ctr" anchorCtr="1"/>
          <a:lstStyle/>
          <a:p>
            <a:pPr>
              <a:defRPr sz="900" b="0" i="0" u="none" strike="noStrike" kern="1200" baseline="0">
                <a:ln>
                  <a:noFill/>
                </a:ln>
                <a:solidFill>
                  <a:sysClr val="windowText" lastClr="000000"/>
                </a:solidFill>
                <a:effectLst/>
                <a:latin typeface="+mn-lt"/>
                <a:ea typeface="+mn-ea"/>
                <a:cs typeface="+mn-cs"/>
              </a:defRPr>
            </a:pPr>
            <a:endParaRPr lang="en-US"/>
          </a:p>
        </c:txPr>
        <c:crossAx val="478564864"/>
        <c:crosses val="autoZero"/>
        <c:auto val="1"/>
        <c:lblAlgn val="ctr"/>
        <c:lblOffset val="100"/>
        <c:tickMarkSkip val="1"/>
        <c:noMultiLvlLbl val="1"/>
      </c:catAx>
      <c:valAx>
        <c:axId val="478564864"/>
        <c:scaling>
          <c:orientation val="minMax"/>
          <c:max val="4000"/>
        </c:scaling>
        <c:delete val="0"/>
        <c:axPos val="l"/>
        <c:majorGridlines>
          <c:spPr>
            <a:ln w="9525" cap="flat" cmpd="sng" algn="ctr">
              <a:solidFill>
                <a:schemeClr val="accent6">
                  <a:lumMod val="60000"/>
                  <a:lumOff val="40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accent6">
                        <a:lumMod val="75000"/>
                      </a:schemeClr>
                    </a:solidFill>
                    <a:latin typeface="+mn-lt"/>
                    <a:ea typeface="+mn-ea"/>
                    <a:cs typeface="+mn-cs"/>
                  </a:defRPr>
                </a:pPr>
                <a:r>
                  <a:rPr lang="en-US">
                    <a:solidFill>
                      <a:schemeClr val="accent6">
                        <a:lumMod val="75000"/>
                      </a:schemeClr>
                    </a:solidFill>
                  </a:rPr>
                  <a:t>Grain delivery (lb.)</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accent6">
                      <a:lumMod val="75000"/>
                    </a:schemeClr>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accent6">
                    <a:lumMod val="75000"/>
                  </a:schemeClr>
                </a:solidFill>
                <a:latin typeface="+mn-lt"/>
                <a:ea typeface="+mn-ea"/>
                <a:cs typeface="+mn-cs"/>
              </a:defRPr>
            </a:pPr>
            <a:endParaRPr lang="en-US"/>
          </a:p>
        </c:txPr>
        <c:crossAx val="478572736"/>
        <c:crossesAt val="0"/>
        <c:crossBetween val="midCat"/>
        <c:majorUnit val="400"/>
      </c:valAx>
      <c:valAx>
        <c:axId val="467465912"/>
        <c:scaling>
          <c:orientation val="minMax"/>
          <c:max val="1500"/>
          <c:min val="0"/>
        </c:scaling>
        <c:delete val="0"/>
        <c:axPos val="r"/>
        <c:title>
          <c:tx>
            <c:rich>
              <a:bodyPr rot="-5400000" spcFirstLastPara="1" vertOverflow="ellipsis" vert="horz" wrap="square" anchor="ctr" anchorCtr="1"/>
              <a:lstStyle/>
              <a:p>
                <a:pPr>
                  <a:defRPr sz="800" b="0" i="0" u="none" strike="noStrike" kern="1200" baseline="0">
                    <a:solidFill>
                      <a:srgbClr val="FF0000"/>
                    </a:solidFill>
                    <a:latin typeface="+mn-lt"/>
                    <a:ea typeface="+mn-ea"/>
                    <a:cs typeface="+mn-cs"/>
                  </a:defRPr>
                </a:pPr>
                <a:r>
                  <a:rPr lang="en-US" sz="800">
                    <a:solidFill>
                      <a:srgbClr val="FF0000"/>
                    </a:solidFill>
                  </a:rPr>
                  <a:t>Yield per camel (lb./camel)</a:t>
                </a:r>
              </a:p>
            </c:rich>
          </c:tx>
          <c:overlay val="0"/>
          <c:spPr>
            <a:noFill/>
            <a:ln>
              <a:noFill/>
            </a:ln>
            <a:effectLst/>
          </c:spPr>
          <c:txPr>
            <a:bodyPr rot="-5400000" spcFirstLastPara="1" vertOverflow="ellipsis" vert="horz" wrap="square" anchor="ctr" anchorCtr="1"/>
            <a:lstStyle/>
            <a:p>
              <a:pPr>
                <a:defRPr sz="800" b="0" i="0" u="none" strike="noStrike" kern="1200" baseline="0">
                  <a:solidFill>
                    <a:srgbClr val="FF0000"/>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rgbClr val="FF0000"/>
                </a:solidFill>
                <a:latin typeface="+mn-lt"/>
                <a:ea typeface="+mn-ea"/>
                <a:cs typeface="+mn-cs"/>
              </a:defRPr>
            </a:pPr>
            <a:endParaRPr lang="en-US"/>
          </a:p>
        </c:txPr>
        <c:crossAx val="467468864"/>
        <c:crosses val="max"/>
        <c:crossBetween val="between"/>
        <c:majorUnit val="150"/>
      </c:valAx>
      <c:catAx>
        <c:axId val="467468864"/>
        <c:scaling>
          <c:orientation val="minMax"/>
        </c:scaling>
        <c:delete val="1"/>
        <c:axPos val="b"/>
        <c:numFmt formatCode="General" sourceLinked="1"/>
        <c:majorTickMark val="out"/>
        <c:minorTickMark val="none"/>
        <c:tickLblPos val="nextTo"/>
        <c:crossAx val="467465912"/>
        <c:crosses val="autoZero"/>
        <c:auto val="1"/>
        <c:lblAlgn val="ctr"/>
        <c:lblOffset val="100"/>
        <c:noMultiLvlLbl val="0"/>
      </c:catAx>
      <c:spPr>
        <a:gradFill>
          <a:gsLst>
            <a:gs pos="0">
              <a:schemeClr val="accent6">
                <a:lumMod val="20000"/>
                <a:lumOff val="80000"/>
              </a:schemeClr>
            </a:gs>
            <a:gs pos="77000">
              <a:schemeClr val="accent6">
                <a:lumMod val="60000"/>
                <a:lumOff val="40000"/>
              </a:schemeClr>
            </a:gs>
            <a:gs pos="42000">
              <a:schemeClr val="accent6">
                <a:lumMod val="20000"/>
                <a:lumOff val="80000"/>
              </a:schemeClr>
            </a:gs>
            <a:gs pos="100000">
              <a:schemeClr val="accent1">
                <a:lumMod val="30000"/>
                <a:lumOff val="70000"/>
              </a:schemeClr>
            </a:gs>
          </a:gsLst>
          <a:lin ang="5400000" scaled="1"/>
        </a:gradFill>
        <a:ln>
          <a:noFill/>
        </a:ln>
        <a:effectLst/>
      </c:spPr>
    </c:plotArea>
    <c:plotVisOnly val="1"/>
    <c:dispBlanksAs val="gap"/>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0</xdr:col>
      <xdr:colOff>3162304</xdr:colOff>
      <xdr:row>2</xdr:row>
      <xdr:rowOff>19054</xdr:rowOff>
    </xdr:from>
    <xdr:to>
      <xdr:col>0</xdr:col>
      <xdr:colOff>5210179</xdr:colOff>
      <xdr:row>6</xdr:row>
      <xdr:rowOff>161929</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62304" y="457204"/>
          <a:ext cx="2047875" cy="10953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676275</xdr:colOff>
          <xdr:row>17</xdr:row>
          <xdr:rowOff>47625</xdr:rowOff>
        </xdr:from>
        <xdr:to>
          <xdr:col>2</xdr:col>
          <xdr:colOff>1562100</xdr:colOff>
          <xdr:row>19</xdr:row>
          <xdr:rowOff>57150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en-US" sz="1600" b="1" i="0" u="none" strike="noStrike" baseline="0">
                  <a:solidFill>
                    <a:srgbClr val="FF0000"/>
                  </a:solidFill>
                  <a:latin typeface="Britannic Bold"/>
                </a:rPr>
                <a:t>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1809750</xdr:colOff>
          <xdr:row>17</xdr:row>
          <xdr:rowOff>66675</xdr:rowOff>
        </xdr:from>
        <xdr:to>
          <xdr:col>3</xdr:col>
          <xdr:colOff>685800</xdr:colOff>
          <xdr:row>19</xdr:row>
          <xdr:rowOff>57150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3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339966"/>
                  </a:solidFill>
                  <a:latin typeface="Algerian"/>
                </a:rPr>
                <a:t>TRANSPORT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85725</xdr:colOff>
          <xdr:row>4</xdr:row>
          <xdr:rowOff>161925</xdr:rowOff>
        </xdr:from>
        <xdr:to>
          <xdr:col>5</xdr:col>
          <xdr:colOff>152400</xdr:colOff>
          <xdr:row>6</xdr:row>
          <xdr:rowOff>142875</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80"/>
                  </a:solidFill>
                  <a:latin typeface="Calibri"/>
                  <a:cs typeface="Calibri"/>
                </a:rPr>
                <a:t>Clear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781050</xdr:colOff>
          <xdr:row>4</xdr:row>
          <xdr:rowOff>152400</xdr:rowOff>
        </xdr:from>
        <xdr:to>
          <xdr:col>11</xdr:col>
          <xdr:colOff>9525</xdr:colOff>
          <xdr:row>6</xdr:row>
          <xdr:rowOff>133350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cs typeface="Calibri"/>
                </a:rPr>
                <a:t>Clear Output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342900</xdr:colOff>
          <xdr:row>3</xdr:row>
          <xdr:rowOff>76200</xdr:rowOff>
        </xdr:from>
        <xdr:to>
          <xdr:col>8</xdr:col>
          <xdr:colOff>561975</xdr:colOff>
          <xdr:row>6</xdr:row>
          <xdr:rowOff>9525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FF"/>
                  </a:solidFill>
                  <a:latin typeface="Algerian"/>
                </a:rPr>
                <a:t>CALCULATE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257028</xdr:colOff>
      <xdr:row>13</xdr:row>
      <xdr:rowOff>25665</xdr:rowOff>
    </xdr:from>
    <xdr:to>
      <xdr:col>12</xdr:col>
      <xdr:colOff>531391</xdr:colOff>
      <xdr:row>39</xdr:row>
      <xdr:rowOff>52256</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636811</xdr:colOff>
      <xdr:row>15</xdr:row>
      <xdr:rowOff>7786</xdr:rowOff>
    </xdr:from>
    <xdr:to>
      <xdr:col>11</xdr:col>
      <xdr:colOff>37661</xdr:colOff>
      <xdr:row>38</xdr:row>
      <xdr:rowOff>40643</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676275</xdr:colOff>
          <xdr:row>17</xdr:row>
          <xdr:rowOff>47625</xdr:rowOff>
        </xdr:from>
        <xdr:to>
          <xdr:col>2</xdr:col>
          <xdr:colOff>1562100</xdr:colOff>
          <xdr:row>19</xdr:row>
          <xdr:rowOff>57150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47C66235-9D2A-4CE8-A7A9-42759C2C3E6D}"/>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en-US" sz="1600" b="1" i="0" u="none" strike="noStrike" baseline="0">
                  <a:solidFill>
                    <a:srgbClr val="FF0000"/>
                  </a:solidFill>
                  <a:latin typeface="Britannic Bold"/>
                </a:rPr>
                <a:t>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1809750</xdr:colOff>
          <xdr:row>17</xdr:row>
          <xdr:rowOff>66675</xdr:rowOff>
        </xdr:from>
        <xdr:to>
          <xdr:col>3</xdr:col>
          <xdr:colOff>685800</xdr:colOff>
          <xdr:row>19</xdr:row>
          <xdr:rowOff>57150</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BD2FB81A-DCB9-440B-BAC7-8853EE1BB9F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339966"/>
                  </a:solidFill>
                  <a:latin typeface="Algerian"/>
                </a:rPr>
                <a:t>TRANSPORT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6</xdr:row>
      <xdr:rowOff>0</xdr:rowOff>
    </xdr:from>
    <xdr:to>
      <xdr:col>2</xdr:col>
      <xdr:colOff>9525</xdr:colOff>
      <xdr:row>7</xdr:row>
      <xdr:rowOff>9525</xdr:rowOff>
    </xdr:to>
    <xdr:pic>
      <xdr:nvPicPr>
        <xdr:cNvPr id="3" name="Picture 2">
          <a:extLst>
            <a:ext uri="{FF2B5EF4-FFF2-40B4-BE49-F238E27FC236}">
              <a16:creationId xmlns:a16="http://schemas.microsoft.com/office/drawing/2014/main" id="{3180D5C6-FC94-4345-8E47-0873DA309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71600"/>
          <a:ext cx="61912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6</xdr:row>
      <xdr:rowOff>0</xdr:rowOff>
    </xdr:from>
    <xdr:to>
      <xdr:col>2</xdr:col>
      <xdr:colOff>9525</xdr:colOff>
      <xdr:row>7</xdr:row>
      <xdr:rowOff>9525</xdr:rowOff>
    </xdr:to>
    <xdr:pic>
      <xdr:nvPicPr>
        <xdr:cNvPr id="5" name="Picture 4">
          <a:extLst>
            <a:ext uri="{FF2B5EF4-FFF2-40B4-BE49-F238E27FC236}">
              <a16:creationId xmlns:a16="http://schemas.microsoft.com/office/drawing/2014/main" id="{1AC3395F-8841-4EE9-959C-DAE55E6984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71600"/>
          <a:ext cx="61912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3.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7" tint="-0.499984740745262"/>
  </sheetPr>
  <dimension ref="A1:A57"/>
  <sheetViews>
    <sheetView showGridLines="0" showWhiteSpace="0" topLeftCell="A37" zoomScale="90" zoomScaleNormal="90" zoomScalePageLayoutView="70" workbookViewId="0">
      <selection activeCell="A50" sqref="A50"/>
    </sheetView>
  </sheetViews>
  <sheetFormatPr defaultRowHeight="15" x14ac:dyDescent="0.25"/>
  <cols>
    <col min="1" max="1" width="132.42578125" style="2" customWidth="1"/>
  </cols>
  <sheetData>
    <row r="1" spans="1:1" ht="15.75" x14ac:dyDescent="0.25">
      <c r="A1" s="3"/>
    </row>
    <row r="2" spans="1:1" ht="21.75" x14ac:dyDescent="0.35">
      <c r="A2" s="21" t="s">
        <v>4</v>
      </c>
    </row>
    <row r="3" spans="1:1" ht="18.75" x14ac:dyDescent="0.3">
      <c r="A3" s="19"/>
    </row>
    <row r="4" spans="1:1" ht="18.75" x14ac:dyDescent="0.3">
      <c r="A4" s="19"/>
    </row>
    <row r="5" spans="1:1" ht="18.75" x14ac:dyDescent="0.3">
      <c r="A5" s="19"/>
    </row>
    <row r="6" spans="1:1" ht="18.75" x14ac:dyDescent="0.3">
      <c r="A6" s="19"/>
    </row>
    <row r="7" spans="1:1" ht="15.75" x14ac:dyDescent="0.25">
      <c r="A7" s="3"/>
    </row>
    <row r="8" spans="1:1" ht="15.75" x14ac:dyDescent="0.25">
      <c r="A8" s="3" t="s">
        <v>5</v>
      </c>
    </row>
    <row r="9" spans="1:1" ht="15.75" x14ac:dyDescent="0.25">
      <c r="A9" s="3"/>
    </row>
    <row r="10" spans="1:1" ht="15.75" x14ac:dyDescent="0.25">
      <c r="A10" s="3"/>
    </row>
    <row r="11" spans="1:1" ht="15.75" x14ac:dyDescent="0.25">
      <c r="A11" s="20" t="s">
        <v>6</v>
      </c>
    </row>
    <row r="12" spans="1:1" ht="47.25" x14ac:dyDescent="0.25">
      <c r="A12" s="4" t="s">
        <v>7</v>
      </c>
    </row>
    <row r="13" spans="1:1" ht="15.75" x14ac:dyDescent="0.25">
      <c r="A13" s="4"/>
    </row>
    <row r="14" spans="1:1" ht="15.75" x14ac:dyDescent="0.25">
      <c r="A14" s="3"/>
    </row>
    <row r="15" spans="1:1" ht="15.75" x14ac:dyDescent="0.25">
      <c r="A15" s="3" t="s">
        <v>11</v>
      </c>
    </row>
    <row r="16" spans="1:1" ht="31.5" x14ac:dyDescent="0.25">
      <c r="A16" s="5" t="s">
        <v>9</v>
      </c>
    </row>
    <row r="17" spans="1:1" ht="15.75" x14ac:dyDescent="0.25">
      <c r="A17" s="5"/>
    </row>
    <row r="18" spans="1:1" ht="31.5" x14ac:dyDescent="0.25">
      <c r="A18" s="7" t="s">
        <v>16</v>
      </c>
    </row>
    <row r="19" spans="1:1" ht="20.100000000000001" customHeight="1" x14ac:dyDescent="0.25">
      <c r="A19" s="8" t="s">
        <v>17</v>
      </c>
    </row>
    <row r="20" spans="1:1" ht="47.25" x14ac:dyDescent="0.25">
      <c r="A20" s="7" t="s">
        <v>18</v>
      </c>
    </row>
    <row r="21" spans="1:1" ht="15.75" x14ac:dyDescent="0.25">
      <c r="A21" s="5"/>
    </row>
    <row r="22" spans="1:1" ht="31.5" x14ac:dyDescent="0.25">
      <c r="A22" s="5" t="s">
        <v>10</v>
      </c>
    </row>
    <row r="23" spans="1:1" ht="15.75" x14ac:dyDescent="0.25">
      <c r="A23" s="5"/>
    </row>
    <row r="24" spans="1:1" ht="15.75" x14ac:dyDescent="0.25">
      <c r="A24" s="3"/>
    </row>
    <row r="25" spans="1:1" ht="15.75" x14ac:dyDescent="0.25">
      <c r="A25" s="3" t="s">
        <v>12</v>
      </c>
    </row>
    <row r="26" spans="1:1" ht="15.75" x14ac:dyDescent="0.25">
      <c r="A26" s="7" t="s">
        <v>19</v>
      </c>
    </row>
    <row r="27" spans="1:1" ht="15.75" customHeight="1" x14ac:dyDescent="0.25">
      <c r="A27" s="9" t="s">
        <v>20</v>
      </c>
    </row>
    <row r="28" spans="1:1" ht="15.75" customHeight="1" x14ac:dyDescent="0.25">
      <c r="A28" s="10" t="s">
        <v>21</v>
      </c>
    </row>
    <row r="29" spans="1:1" ht="30" customHeight="1" x14ac:dyDescent="0.25">
      <c r="A29" s="17" t="s">
        <v>25</v>
      </c>
    </row>
    <row r="30" spans="1:1" ht="15.75" x14ac:dyDescent="0.25">
      <c r="A30" s="15" t="s">
        <v>26</v>
      </c>
    </row>
    <row r="31" spans="1:1" ht="15.75" x14ac:dyDescent="0.25">
      <c r="A31" s="16" t="s">
        <v>27</v>
      </c>
    </row>
    <row r="32" spans="1:1" ht="15.75" customHeight="1" x14ac:dyDescent="0.25">
      <c r="A32" s="16" t="s">
        <v>28</v>
      </c>
    </row>
    <row r="33" spans="1:1" ht="30" customHeight="1" x14ac:dyDescent="0.25">
      <c r="A33" s="17" t="s">
        <v>29</v>
      </c>
    </row>
    <row r="34" spans="1:1" ht="15.75" customHeight="1" x14ac:dyDescent="0.25">
      <c r="A34" s="17"/>
    </row>
    <row r="35" spans="1:1" ht="15.75" x14ac:dyDescent="0.25">
      <c r="A35" s="5" t="s">
        <v>13</v>
      </c>
    </row>
    <row r="36" spans="1:1" ht="30" customHeight="1" x14ac:dyDescent="0.25">
      <c r="A36" s="18" t="s">
        <v>30</v>
      </c>
    </row>
    <row r="37" spans="1:1" ht="30" customHeight="1" x14ac:dyDescent="0.25">
      <c r="A37" s="18" t="s">
        <v>31</v>
      </c>
    </row>
    <row r="38" spans="1:1" ht="15.75" x14ac:dyDescent="0.25">
      <c r="A38" s="15" t="s">
        <v>32</v>
      </c>
    </row>
    <row r="39" spans="1:1" ht="15.75" x14ac:dyDescent="0.25">
      <c r="A39" s="15" t="s">
        <v>33</v>
      </c>
    </row>
    <row r="40" spans="1:1" ht="15.75" x14ac:dyDescent="0.25">
      <c r="A40" s="5" t="s">
        <v>14</v>
      </c>
    </row>
    <row r="41" spans="1:1" ht="30" customHeight="1" x14ac:dyDescent="0.25">
      <c r="A41" s="18" t="s">
        <v>34</v>
      </c>
    </row>
    <row r="42" spans="1:1" ht="15.75" x14ac:dyDescent="0.25">
      <c r="A42" s="6"/>
    </row>
    <row r="43" spans="1:1" ht="15.75" x14ac:dyDescent="0.25">
      <c r="A43" s="3"/>
    </row>
    <row r="44" spans="1:1" ht="20.100000000000001" customHeight="1" x14ac:dyDescent="0.25">
      <c r="A44" s="86" t="s">
        <v>116</v>
      </c>
    </row>
    <row r="45" spans="1:1" ht="20.100000000000001" customHeight="1" x14ac:dyDescent="0.25">
      <c r="A45" s="85" t="s">
        <v>68</v>
      </c>
    </row>
    <row r="46" spans="1:1" ht="20.100000000000001" customHeight="1" x14ac:dyDescent="0.25">
      <c r="A46" s="85" t="s">
        <v>38</v>
      </c>
    </row>
    <row r="47" spans="1:1" ht="20.100000000000001" customHeight="1" x14ac:dyDescent="0.25">
      <c r="A47" s="85" t="s">
        <v>82</v>
      </c>
    </row>
    <row r="48" spans="1:1" ht="20.100000000000001" customHeight="1" x14ac:dyDescent="0.25">
      <c r="A48" s="85" t="s">
        <v>91</v>
      </c>
    </row>
    <row r="49" spans="1:1" ht="20.100000000000001" customHeight="1" x14ac:dyDescent="0.25">
      <c r="A49" s="84"/>
    </row>
    <row r="50" spans="1:1" ht="20.100000000000001" customHeight="1" x14ac:dyDescent="0.25">
      <c r="A50" s="84"/>
    </row>
    <row r="51" spans="1:1" ht="15.75" x14ac:dyDescent="0.25">
      <c r="A51" s="3"/>
    </row>
    <row r="52" spans="1:1" ht="15.75" x14ac:dyDescent="0.25">
      <c r="A52" s="134" t="s">
        <v>84</v>
      </c>
    </row>
    <row r="53" spans="1:1" ht="15.75" x14ac:dyDescent="0.25">
      <c r="A53" s="135" t="s">
        <v>85</v>
      </c>
    </row>
    <row r="54" spans="1:1" x14ac:dyDescent="0.25">
      <c r="A54" s="136" t="s">
        <v>86</v>
      </c>
    </row>
    <row r="55" spans="1:1" x14ac:dyDescent="0.25">
      <c r="A55" s="136" t="s">
        <v>87</v>
      </c>
    </row>
    <row r="56" spans="1:1" x14ac:dyDescent="0.25">
      <c r="A56" s="136" t="s">
        <v>88</v>
      </c>
    </row>
    <row r="57" spans="1:1" x14ac:dyDescent="0.25">
      <c r="A57" s="136" t="s">
        <v>89</v>
      </c>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tabColor rgb="FFFFC000"/>
  </sheetPr>
  <dimension ref="B3:E21"/>
  <sheetViews>
    <sheetView showGridLines="0" zoomScaleNormal="100" workbookViewId="0">
      <selection activeCell="H22" sqref="H22"/>
    </sheetView>
  </sheetViews>
  <sheetFormatPr defaultRowHeight="15" x14ac:dyDescent="0.25"/>
  <sheetData>
    <row r="3" spans="2:5" ht="18" x14ac:dyDescent="0.25">
      <c r="B3" s="144" t="s">
        <v>93</v>
      </c>
    </row>
    <row r="4" spans="2:5" x14ac:dyDescent="0.25">
      <c r="B4" t="s">
        <v>94</v>
      </c>
    </row>
    <row r="5" spans="2:5" x14ac:dyDescent="0.25">
      <c r="B5" t="s">
        <v>95</v>
      </c>
    </row>
    <row r="7" spans="2:5" x14ac:dyDescent="0.25">
      <c r="B7" s="146" t="s">
        <v>98</v>
      </c>
      <c r="C7" s="145" t="s">
        <v>96</v>
      </c>
      <c r="D7" s="145"/>
      <c r="E7" s="145"/>
    </row>
    <row r="8" spans="2:5" x14ac:dyDescent="0.25">
      <c r="C8" t="s">
        <v>97</v>
      </c>
    </row>
    <row r="10" spans="2:5" x14ac:dyDescent="0.25">
      <c r="B10" s="146" t="s">
        <v>98</v>
      </c>
      <c r="C10" s="147" t="s">
        <v>99</v>
      </c>
      <c r="D10" s="147"/>
    </row>
    <row r="11" spans="2:5" x14ac:dyDescent="0.25">
      <c r="B11" s="13"/>
      <c r="C11" t="s">
        <v>100</v>
      </c>
    </row>
    <row r="12" spans="2:5" x14ac:dyDescent="0.25">
      <c r="D12" s="93" t="s">
        <v>101</v>
      </c>
    </row>
    <row r="13" spans="2:5" x14ac:dyDescent="0.25">
      <c r="D13" s="93" t="s">
        <v>102</v>
      </c>
    </row>
    <row r="15" spans="2:5" x14ac:dyDescent="0.25">
      <c r="B15" s="146" t="s">
        <v>98</v>
      </c>
      <c r="C15" s="148" t="s">
        <v>103</v>
      </c>
    </row>
    <row r="16" spans="2:5" x14ac:dyDescent="0.25">
      <c r="C16" t="s">
        <v>104</v>
      </c>
    </row>
    <row r="17" spans="4:4" x14ac:dyDescent="0.25">
      <c r="D17" s="93" t="s">
        <v>105</v>
      </c>
    </row>
    <row r="18" spans="4:4" x14ac:dyDescent="0.25">
      <c r="D18" s="93" t="s">
        <v>106</v>
      </c>
    </row>
    <row r="19" spans="4:4" x14ac:dyDescent="0.25">
      <c r="D19" s="93" t="s">
        <v>107</v>
      </c>
    </row>
    <row r="20" spans="4:4" x14ac:dyDescent="0.25">
      <c r="D20" s="93" t="s">
        <v>108</v>
      </c>
    </row>
    <row r="21" spans="4:4" x14ac:dyDescent="0.25">
      <c r="D21" s="93" t="s">
        <v>109</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9" tint="0.39997558519241921"/>
  </sheetPr>
  <dimension ref="B1:K18"/>
  <sheetViews>
    <sheetView showGridLines="0" zoomScaleNormal="100" workbookViewId="0">
      <selection activeCell="C7" sqref="C7"/>
    </sheetView>
  </sheetViews>
  <sheetFormatPr defaultRowHeight="15" x14ac:dyDescent="0.25"/>
  <cols>
    <col min="2" max="2" width="29.7109375" customWidth="1"/>
    <col min="3" max="3" width="11" style="1" customWidth="1"/>
    <col min="4" max="4" width="2.7109375" customWidth="1"/>
    <col min="5" max="5" width="2.42578125" customWidth="1"/>
    <col min="6" max="6" width="6.42578125" style="1" customWidth="1"/>
    <col min="7" max="7" width="9.85546875" style="1" customWidth="1"/>
    <col min="8" max="8" width="11.7109375" style="1" customWidth="1"/>
    <col min="9" max="9" width="8.42578125" style="1" customWidth="1"/>
    <col min="10" max="10" width="11" customWidth="1"/>
  </cols>
  <sheetData>
    <row r="1" spans="2:11" ht="21.95" customHeight="1" x14ac:dyDescent="0.25">
      <c r="B1" s="34" t="s">
        <v>39</v>
      </c>
    </row>
    <row r="2" spans="2:11" ht="30" customHeight="1" x14ac:dyDescent="0.25">
      <c r="B2" s="137" t="s">
        <v>40</v>
      </c>
      <c r="C2" s="137"/>
      <c r="D2" s="137"/>
      <c r="E2" s="137"/>
      <c r="F2" s="137"/>
      <c r="G2" s="137"/>
      <c r="H2" s="137"/>
      <c r="I2" s="137"/>
    </row>
    <row r="4" spans="2:11" ht="15.75" thickBot="1" x14ac:dyDescent="0.3">
      <c r="B4" s="38" t="s">
        <v>52</v>
      </c>
      <c r="C4" s="39"/>
      <c r="F4" s="56" t="s">
        <v>47</v>
      </c>
      <c r="G4" s="57" t="s">
        <v>48</v>
      </c>
      <c r="H4" s="57" t="s">
        <v>49</v>
      </c>
      <c r="I4" s="57" t="s">
        <v>50</v>
      </c>
      <c r="J4" s="58"/>
    </row>
    <row r="5" spans="2:11" x14ac:dyDescent="0.25">
      <c r="B5" s="40" t="s">
        <v>41</v>
      </c>
      <c r="C5" s="41">
        <v>1000</v>
      </c>
      <c r="F5" s="59">
        <v>0</v>
      </c>
      <c r="G5" s="60">
        <v>0</v>
      </c>
      <c r="H5" s="60">
        <f>Ks*ML</f>
        <v>10000</v>
      </c>
      <c r="I5" s="60">
        <f>MIN(NC,Ks)</f>
        <v>1</v>
      </c>
      <c r="J5" s="61" t="str">
        <f t="shared" ref="J5:J14" si="0">IF(G5=Dx,"DELIVERED", " ")</f>
        <v xml:space="preserve"> </v>
      </c>
      <c r="K5" t="str">
        <f>IF(H5=0,"OUT OF FUEL"," ")</f>
        <v xml:space="preserve"> </v>
      </c>
    </row>
    <row r="6" spans="2:11" x14ac:dyDescent="0.25">
      <c r="B6" s="42" t="s">
        <v>42</v>
      </c>
      <c r="C6" s="43">
        <v>10000</v>
      </c>
      <c r="F6" s="62">
        <f>F5+1</f>
        <v>1</v>
      </c>
      <c r="G6" s="63">
        <f t="shared" ref="G6:G14" si="1">IF(G5=Dx," ",MIN(Dx,G5+(ML/fuel)/(2*(Ks-F5)-I5)))</f>
        <v>52.631578947368418</v>
      </c>
      <c r="H6" s="63">
        <f t="shared" ref="H6:H14" si="2">IF(G6=Dx,H5-(Dx-G5)*fuel*(2*(Ks-F5)-I5),(Ks-F6)*ML)</f>
        <v>9000</v>
      </c>
      <c r="I6" s="63">
        <f t="shared" ref="I6:I14" si="3">IF(G6=Dx,I5,MIN(I5,Ks-F6))</f>
        <v>1</v>
      </c>
      <c r="J6" s="64" t="str">
        <f t="shared" si="0"/>
        <v xml:space="preserve"> </v>
      </c>
      <c r="K6" t="str">
        <f t="shared" ref="K6:K14" si="4">IF(H6=0,"OUT OF FUEL"," ")</f>
        <v xml:space="preserve"> </v>
      </c>
    </row>
    <row r="7" spans="2:11" x14ac:dyDescent="0.25">
      <c r="B7" s="44" t="s">
        <v>43</v>
      </c>
      <c r="C7" s="45">
        <v>1000</v>
      </c>
      <c r="F7" s="59">
        <f t="shared" ref="F7:F13" si="5">F6+1</f>
        <v>2</v>
      </c>
      <c r="G7" s="60">
        <f t="shared" si="1"/>
        <v>111.45510835913312</v>
      </c>
      <c r="H7" s="60">
        <f t="shared" si="2"/>
        <v>8000</v>
      </c>
      <c r="I7" s="60">
        <f t="shared" si="3"/>
        <v>1</v>
      </c>
      <c r="J7" s="61" t="str">
        <f t="shared" si="0"/>
        <v xml:space="preserve"> </v>
      </c>
      <c r="K7" t="str">
        <f t="shared" si="4"/>
        <v xml:space="preserve"> </v>
      </c>
    </row>
    <row r="8" spans="2:11" x14ac:dyDescent="0.25">
      <c r="B8" s="42" t="s">
        <v>0</v>
      </c>
      <c r="C8" s="43">
        <v>1</v>
      </c>
      <c r="F8" s="62">
        <f t="shared" si="5"/>
        <v>3</v>
      </c>
      <c r="G8" s="63">
        <f t="shared" si="1"/>
        <v>178.12177502579979</v>
      </c>
      <c r="H8" s="63">
        <f t="shared" si="2"/>
        <v>7000</v>
      </c>
      <c r="I8" s="63">
        <f t="shared" si="3"/>
        <v>1</v>
      </c>
      <c r="J8" s="64" t="str">
        <f t="shared" si="0"/>
        <v xml:space="preserve"> </v>
      </c>
      <c r="K8" t="str">
        <f t="shared" si="4"/>
        <v xml:space="preserve"> </v>
      </c>
    </row>
    <row r="9" spans="2:11" x14ac:dyDescent="0.25">
      <c r="B9" s="46" t="s">
        <v>44</v>
      </c>
      <c r="C9" s="37">
        <v>1</v>
      </c>
      <c r="F9" s="59">
        <f t="shared" si="5"/>
        <v>4</v>
      </c>
      <c r="G9" s="60">
        <f t="shared" si="1"/>
        <v>255.04485194887673</v>
      </c>
      <c r="H9" s="60">
        <f t="shared" si="2"/>
        <v>6000</v>
      </c>
      <c r="I9" s="60">
        <f t="shared" si="3"/>
        <v>1</v>
      </c>
      <c r="J9" s="61" t="str">
        <f t="shared" si="0"/>
        <v xml:space="preserve"> </v>
      </c>
      <c r="K9" t="str">
        <f t="shared" si="4"/>
        <v xml:space="preserve"> </v>
      </c>
    </row>
    <row r="10" spans="2:11" x14ac:dyDescent="0.25">
      <c r="F10" s="62">
        <f t="shared" si="5"/>
        <v>5</v>
      </c>
      <c r="G10" s="63">
        <f t="shared" si="1"/>
        <v>345.9539428579676</v>
      </c>
      <c r="H10" s="63">
        <f t="shared" si="2"/>
        <v>5000</v>
      </c>
      <c r="I10" s="63">
        <f t="shared" si="3"/>
        <v>1</v>
      </c>
      <c r="J10" s="64" t="str">
        <f t="shared" si="0"/>
        <v xml:space="preserve"> </v>
      </c>
      <c r="K10" t="str">
        <f t="shared" si="4"/>
        <v xml:space="preserve"> </v>
      </c>
    </row>
    <row r="11" spans="2:11" x14ac:dyDescent="0.25">
      <c r="F11" s="59">
        <f t="shared" si="5"/>
        <v>6</v>
      </c>
      <c r="G11" s="60">
        <f t="shared" si="1"/>
        <v>457.06505396907869</v>
      </c>
      <c r="H11" s="60">
        <f t="shared" si="2"/>
        <v>4000</v>
      </c>
      <c r="I11" s="60">
        <f t="shared" si="3"/>
        <v>1</v>
      </c>
      <c r="J11" s="61" t="str">
        <f t="shared" si="0"/>
        <v xml:space="preserve"> </v>
      </c>
      <c r="K11" t="str">
        <f t="shared" si="4"/>
        <v xml:space="preserve"> </v>
      </c>
    </row>
    <row r="12" spans="2:11" ht="15.75" x14ac:dyDescent="0.25">
      <c r="B12" s="47" t="s">
        <v>45</v>
      </c>
      <c r="C12" s="48">
        <f>INT(SL/ML)</f>
        <v>10</v>
      </c>
      <c r="F12" s="62">
        <f t="shared" si="5"/>
        <v>7</v>
      </c>
      <c r="G12" s="63">
        <f t="shared" si="1"/>
        <v>599.92219682622158</v>
      </c>
      <c r="H12" s="63">
        <f t="shared" si="2"/>
        <v>3000</v>
      </c>
      <c r="I12" s="63">
        <f t="shared" si="3"/>
        <v>1</v>
      </c>
      <c r="J12" s="64" t="str">
        <f t="shared" si="0"/>
        <v xml:space="preserve"> </v>
      </c>
      <c r="K12" t="str">
        <f t="shared" si="4"/>
        <v xml:space="preserve"> </v>
      </c>
    </row>
    <row r="13" spans="2:11" ht="15.75" x14ac:dyDescent="0.25">
      <c r="B13" s="49" t="s">
        <v>46</v>
      </c>
      <c r="C13" s="50">
        <f>SL-Ks*ML</f>
        <v>0</v>
      </c>
      <c r="F13" s="59">
        <f t="shared" si="5"/>
        <v>8</v>
      </c>
      <c r="G13" s="60">
        <f t="shared" si="1"/>
        <v>799.92219682622158</v>
      </c>
      <c r="H13" s="60">
        <f t="shared" si="2"/>
        <v>2000</v>
      </c>
      <c r="I13" s="60">
        <f t="shared" si="3"/>
        <v>1</v>
      </c>
      <c r="J13" s="61" t="str">
        <f t="shared" si="0"/>
        <v xml:space="preserve"> </v>
      </c>
      <c r="K13" t="str">
        <f t="shared" si="4"/>
        <v xml:space="preserve"> </v>
      </c>
    </row>
    <row r="14" spans="2:11" ht="15.75" x14ac:dyDescent="0.25">
      <c r="B14" s="51" t="s">
        <v>51</v>
      </c>
      <c r="C14" s="52">
        <f>MIN(Ks,NC)</f>
        <v>1</v>
      </c>
      <c r="F14" s="62">
        <f t="shared" ref="F14" si="6">F13+1</f>
        <v>9</v>
      </c>
      <c r="G14" s="63">
        <f t="shared" si="1"/>
        <v>1000</v>
      </c>
      <c r="H14" s="63">
        <f t="shared" si="2"/>
        <v>1399.7665904786647</v>
      </c>
      <c r="I14" s="63">
        <f t="shared" si="3"/>
        <v>1</v>
      </c>
      <c r="J14" s="64" t="str">
        <f t="shared" si="0"/>
        <v>DELIVERED</v>
      </c>
      <c r="K14" t="str">
        <f t="shared" si="4"/>
        <v xml:space="preserve"> </v>
      </c>
    </row>
    <row r="15" spans="2:11" x14ac:dyDescent="0.25">
      <c r="F15" s="59"/>
      <c r="G15" s="60"/>
      <c r="H15" s="60"/>
      <c r="I15" s="60"/>
      <c r="J15" s="61"/>
    </row>
    <row r="16" spans="2:11" x14ac:dyDescent="0.25">
      <c r="F16" s="62"/>
      <c r="G16" s="63"/>
      <c r="H16" s="63"/>
      <c r="I16" s="63"/>
      <c r="J16" s="64"/>
    </row>
    <row r="17" spans="6:10" x14ac:dyDescent="0.25">
      <c r="F17" s="53"/>
      <c r="G17" s="54"/>
      <c r="H17" s="54"/>
      <c r="I17" s="54"/>
      <c r="J17" s="55"/>
    </row>
    <row r="18" spans="6:10" x14ac:dyDescent="0.25">
      <c r="F18" s="65"/>
      <c r="G18" s="66"/>
      <c r="H18" s="66"/>
      <c r="I18" s="66"/>
      <c r="J18" s="67"/>
    </row>
  </sheetData>
  <mergeCells count="1">
    <mergeCell ref="B2:I2"/>
  </mergeCells>
  <pageMargins left="0.7" right="0.7" top="0.75" bottom="0.75" header="0.3" footer="0.3"/>
  <pageSetup orientation="landscape" horizontalDpi="0"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tabColor rgb="FF92D050"/>
  </sheetPr>
  <dimension ref="B1:L844"/>
  <sheetViews>
    <sheetView showGridLines="0" zoomScale="90" zoomScaleNormal="90" workbookViewId="0">
      <selection activeCell="D13" sqref="D13"/>
    </sheetView>
  </sheetViews>
  <sheetFormatPr defaultRowHeight="15" x14ac:dyDescent="0.25"/>
  <cols>
    <col min="1" max="2" width="7.7109375" customWidth="1"/>
    <col min="3" max="3" width="44.28515625" customWidth="1"/>
    <col min="4" max="4" width="11" style="1" customWidth="1"/>
    <col min="8" max="8" width="12.5703125" style="1" customWidth="1"/>
    <col min="9" max="9" width="11.28515625" style="1" customWidth="1"/>
    <col min="10" max="10" width="13" style="1" customWidth="1"/>
    <col min="11" max="12" width="9.140625" style="1"/>
  </cols>
  <sheetData>
    <row r="1" spans="2:11" ht="24.95" customHeight="1" x14ac:dyDescent="0.25">
      <c r="B1" s="34" t="s">
        <v>37</v>
      </c>
    </row>
    <row r="2" spans="2:11" ht="54.95" customHeight="1" x14ac:dyDescent="0.25">
      <c r="B2" s="33"/>
      <c r="C2" s="137" t="s">
        <v>66</v>
      </c>
      <c r="D2" s="137"/>
      <c r="E2" s="137"/>
      <c r="F2" s="137"/>
      <c r="G2" s="137"/>
      <c r="H2" s="33"/>
    </row>
    <row r="3" spans="2:11" ht="18" customHeight="1" x14ac:dyDescent="0.25">
      <c r="B3" s="36"/>
      <c r="C3" s="137"/>
      <c r="D3" s="137"/>
      <c r="E3" s="137"/>
      <c r="F3" s="137"/>
      <c r="G3" s="137"/>
      <c r="H3" s="36"/>
    </row>
    <row r="4" spans="2:11" x14ac:dyDescent="0.25">
      <c r="C4" t="s">
        <v>24</v>
      </c>
    </row>
    <row r="5" spans="2:11" ht="15.75" x14ac:dyDescent="0.25">
      <c r="C5" t="s">
        <v>36</v>
      </c>
    </row>
    <row r="7" spans="2:11" ht="15.75" thickBot="1" x14ac:dyDescent="0.3">
      <c r="C7" s="35" t="s">
        <v>2</v>
      </c>
      <c r="D7" s="23"/>
      <c r="G7" s="22" t="s">
        <v>35</v>
      </c>
    </row>
    <row r="8" spans="2:11" x14ac:dyDescent="0.25">
      <c r="C8" s="82" t="s">
        <v>23</v>
      </c>
      <c r="D8" s="24">
        <v>1000</v>
      </c>
      <c r="G8" s="13"/>
      <c r="H8" s="14" t="s">
        <v>114</v>
      </c>
    </row>
    <row r="9" spans="2:11" x14ac:dyDescent="0.25">
      <c r="C9" s="25" t="s">
        <v>22</v>
      </c>
      <c r="D9" s="26">
        <v>0</v>
      </c>
    </row>
    <row r="10" spans="2:11" x14ac:dyDescent="0.25">
      <c r="C10" s="27" t="s">
        <v>1</v>
      </c>
      <c r="D10" s="28">
        <v>8991</v>
      </c>
      <c r="H10" s="1" t="s">
        <v>62</v>
      </c>
      <c r="I10" s="1" t="s">
        <v>63</v>
      </c>
      <c r="J10" s="1" t="s">
        <v>64</v>
      </c>
      <c r="K10" s="1" t="s">
        <v>65</v>
      </c>
    </row>
    <row r="11" spans="2:11" x14ac:dyDescent="0.25">
      <c r="C11" s="25" t="s">
        <v>0</v>
      </c>
      <c r="D11" s="29">
        <v>2</v>
      </c>
      <c r="H11" s="1">
        <v>0</v>
      </c>
      <c r="I11" s="11">
        <v>0</v>
      </c>
      <c r="J11" s="11">
        <v>8991</v>
      </c>
      <c r="K11" s="1">
        <v>2</v>
      </c>
    </row>
    <row r="12" spans="2:11" x14ac:dyDescent="0.25">
      <c r="C12" s="27" t="s">
        <v>3</v>
      </c>
      <c r="D12" s="28">
        <v>999</v>
      </c>
      <c r="H12" s="1">
        <v>1</v>
      </c>
      <c r="I12" s="11">
        <v>31.21875</v>
      </c>
      <c r="J12" s="11">
        <v>7992</v>
      </c>
      <c r="K12" s="1">
        <v>2</v>
      </c>
    </row>
    <row r="13" spans="2:11" x14ac:dyDescent="0.25">
      <c r="C13" s="30" t="s">
        <v>15</v>
      </c>
      <c r="D13" s="29">
        <v>2</v>
      </c>
      <c r="H13" s="1">
        <v>2</v>
      </c>
      <c r="I13" s="11">
        <v>66.897321428571431</v>
      </c>
      <c r="J13" s="11">
        <v>6993</v>
      </c>
      <c r="K13" s="1">
        <v>2</v>
      </c>
    </row>
    <row r="14" spans="2:11" x14ac:dyDescent="0.25">
      <c r="C14" s="31" t="s">
        <v>8</v>
      </c>
      <c r="D14" s="32">
        <v>10</v>
      </c>
      <c r="H14" s="1">
        <v>3</v>
      </c>
      <c r="I14" s="11">
        <v>108.52232142857143</v>
      </c>
      <c r="J14" s="11">
        <v>5994</v>
      </c>
      <c r="K14" s="1">
        <v>2</v>
      </c>
    </row>
    <row r="15" spans="2:11" x14ac:dyDescent="0.25">
      <c r="H15" s="1">
        <v>4</v>
      </c>
      <c r="I15" s="11">
        <v>158.47232142857143</v>
      </c>
      <c r="J15" s="11">
        <v>4995</v>
      </c>
      <c r="K15" s="1">
        <v>2</v>
      </c>
    </row>
    <row r="16" spans="2:11" x14ac:dyDescent="0.25">
      <c r="H16" s="1">
        <v>5</v>
      </c>
      <c r="I16" s="11">
        <v>220.90982142857143</v>
      </c>
      <c r="J16" s="11">
        <v>3996</v>
      </c>
      <c r="K16" s="1">
        <v>2</v>
      </c>
    </row>
    <row r="17" spans="3:11" x14ac:dyDescent="0.25">
      <c r="C17" s="12" t="s">
        <v>113</v>
      </c>
      <c r="H17" s="1">
        <v>6</v>
      </c>
      <c r="I17" s="11">
        <v>304.15982142857143</v>
      </c>
      <c r="J17" s="11">
        <v>2997</v>
      </c>
      <c r="K17" s="1">
        <v>2</v>
      </c>
    </row>
    <row r="18" spans="3:11" x14ac:dyDescent="0.25">
      <c r="H18" s="1">
        <v>7</v>
      </c>
      <c r="I18" s="11">
        <v>429.03482142857143</v>
      </c>
      <c r="J18" s="11">
        <v>1998</v>
      </c>
      <c r="K18" s="1">
        <v>2</v>
      </c>
    </row>
    <row r="19" spans="3:11" x14ac:dyDescent="0.25">
      <c r="H19" s="1">
        <v>8</v>
      </c>
      <c r="I19" s="11">
        <v>678.78482142857138</v>
      </c>
      <c r="J19" s="11">
        <v>999</v>
      </c>
      <c r="K19" s="1">
        <v>1</v>
      </c>
    </row>
    <row r="20" spans="3:11" x14ac:dyDescent="0.25">
      <c r="H20" s="1">
        <v>9</v>
      </c>
      <c r="I20" s="11">
        <v>1000</v>
      </c>
      <c r="J20" s="11">
        <v>356.57</v>
      </c>
      <c r="K20" s="1">
        <v>1</v>
      </c>
    </row>
    <row r="21" spans="3:11" x14ac:dyDescent="0.25">
      <c r="I21" s="11"/>
      <c r="J21" s="11"/>
    </row>
    <row r="22" spans="3:11" x14ac:dyDescent="0.25">
      <c r="I22" s="11"/>
      <c r="J22" s="11"/>
    </row>
    <row r="23" spans="3:11" x14ac:dyDescent="0.25">
      <c r="I23" s="11"/>
      <c r="J23" s="11"/>
    </row>
    <row r="24" spans="3:11" x14ac:dyDescent="0.25">
      <c r="I24" s="11"/>
      <c r="J24" s="11"/>
    </row>
    <row r="25" spans="3:11" x14ac:dyDescent="0.25">
      <c r="I25" s="11"/>
      <c r="J25" s="11"/>
    </row>
    <row r="26" spans="3:11" x14ac:dyDescent="0.25">
      <c r="I26" s="11"/>
      <c r="J26" s="11"/>
    </row>
    <row r="27" spans="3:11" x14ac:dyDescent="0.25">
      <c r="I27" s="11"/>
      <c r="J27" s="11"/>
    </row>
    <row r="28" spans="3:11" x14ac:dyDescent="0.25">
      <c r="I28" s="11"/>
      <c r="J28" s="11"/>
    </row>
    <row r="29" spans="3:11" x14ac:dyDescent="0.25">
      <c r="I29" s="11"/>
      <c r="J29" s="11"/>
    </row>
    <row r="30" spans="3:11" x14ac:dyDescent="0.25">
      <c r="C30" s="2"/>
      <c r="I30" s="11"/>
      <c r="J30" s="11"/>
    </row>
    <row r="31" spans="3:11" x14ac:dyDescent="0.25">
      <c r="I31" s="11"/>
      <c r="J31" s="11"/>
    </row>
    <row r="32" spans="3:11" x14ac:dyDescent="0.25">
      <c r="I32" s="11"/>
      <c r="J32" s="11"/>
    </row>
    <row r="33" spans="9:10" x14ac:dyDescent="0.25">
      <c r="I33" s="11"/>
      <c r="J33" s="11"/>
    </row>
    <row r="34" spans="9:10" x14ac:dyDescent="0.25">
      <c r="I34" s="11"/>
      <c r="J34" s="11"/>
    </row>
    <row r="35" spans="9:10" x14ac:dyDescent="0.25">
      <c r="I35" s="11"/>
      <c r="J35" s="11"/>
    </row>
    <row r="36" spans="9:10" x14ac:dyDescent="0.25">
      <c r="I36" s="11"/>
      <c r="J36" s="11"/>
    </row>
    <row r="37" spans="9:10" x14ac:dyDescent="0.25">
      <c r="I37" s="11"/>
      <c r="J37" s="11"/>
    </row>
    <row r="38" spans="9:10" x14ac:dyDescent="0.25">
      <c r="I38" s="11"/>
      <c r="J38" s="11"/>
    </row>
    <row r="39" spans="9:10" x14ac:dyDescent="0.25">
      <c r="I39" s="11"/>
      <c r="J39" s="11"/>
    </row>
    <row r="40" spans="9:10" x14ac:dyDescent="0.25">
      <c r="I40" s="11"/>
      <c r="J40" s="11"/>
    </row>
    <row r="41" spans="9:10" x14ac:dyDescent="0.25">
      <c r="I41" s="11"/>
      <c r="J41" s="11"/>
    </row>
    <row r="42" spans="9:10" x14ac:dyDescent="0.25">
      <c r="I42" s="11"/>
      <c r="J42" s="11"/>
    </row>
    <row r="43" spans="9:10" x14ac:dyDescent="0.25">
      <c r="I43" s="11"/>
      <c r="J43" s="11"/>
    </row>
    <row r="44" spans="9:10" x14ac:dyDescent="0.25">
      <c r="I44" s="11"/>
      <c r="J44" s="11"/>
    </row>
    <row r="45" spans="9:10" x14ac:dyDescent="0.25">
      <c r="I45" s="11"/>
      <c r="J45" s="11"/>
    </row>
    <row r="46" spans="9:10" x14ac:dyDescent="0.25">
      <c r="I46" s="11"/>
      <c r="J46" s="11"/>
    </row>
    <row r="47" spans="9:10" x14ac:dyDescent="0.25">
      <c r="I47" s="11"/>
      <c r="J47" s="11"/>
    </row>
    <row r="48" spans="9:10" x14ac:dyDescent="0.25">
      <c r="I48" s="11"/>
      <c r="J48" s="11"/>
    </row>
    <row r="49" spans="9:10" x14ac:dyDescent="0.25">
      <c r="I49" s="11"/>
      <c r="J49" s="11"/>
    </row>
    <row r="50" spans="9:10" x14ac:dyDescent="0.25">
      <c r="I50" s="11"/>
      <c r="J50" s="11"/>
    </row>
    <row r="51" spans="9:10" x14ac:dyDescent="0.25">
      <c r="I51" s="11"/>
      <c r="J51" s="11"/>
    </row>
    <row r="52" spans="9:10" x14ac:dyDescent="0.25">
      <c r="I52" s="11"/>
      <c r="J52" s="11"/>
    </row>
    <row r="53" spans="9:10" x14ac:dyDescent="0.25">
      <c r="I53" s="11"/>
      <c r="J53" s="11"/>
    </row>
    <row r="54" spans="9:10" x14ac:dyDescent="0.25">
      <c r="I54" s="11"/>
      <c r="J54" s="11"/>
    </row>
    <row r="55" spans="9:10" x14ac:dyDescent="0.25">
      <c r="I55" s="11"/>
      <c r="J55" s="11"/>
    </row>
    <row r="56" spans="9:10" x14ac:dyDescent="0.25">
      <c r="I56" s="11"/>
      <c r="J56" s="11"/>
    </row>
    <row r="57" spans="9:10" x14ac:dyDescent="0.25">
      <c r="I57" s="11"/>
      <c r="J57" s="11"/>
    </row>
    <row r="58" spans="9:10" x14ac:dyDescent="0.25">
      <c r="I58" s="11"/>
      <c r="J58" s="11"/>
    </row>
    <row r="59" spans="9:10" x14ac:dyDescent="0.25">
      <c r="I59" s="11"/>
      <c r="J59" s="11"/>
    </row>
    <row r="60" spans="9:10" x14ac:dyDescent="0.25">
      <c r="I60" s="11"/>
      <c r="J60" s="11"/>
    </row>
    <row r="61" spans="9:10" x14ac:dyDescent="0.25">
      <c r="I61" s="11"/>
      <c r="J61" s="11"/>
    </row>
    <row r="62" spans="9:10" x14ac:dyDescent="0.25">
      <c r="I62" s="11"/>
      <c r="J62" s="11"/>
    </row>
    <row r="63" spans="9:10" x14ac:dyDescent="0.25">
      <c r="I63" s="11"/>
      <c r="J63" s="11"/>
    </row>
    <row r="64" spans="9:10" x14ac:dyDescent="0.25">
      <c r="I64" s="11"/>
      <c r="J64" s="11"/>
    </row>
    <row r="65" spans="9:10" x14ac:dyDescent="0.25">
      <c r="I65" s="11"/>
      <c r="J65" s="11"/>
    </row>
    <row r="66" spans="9:10" x14ac:dyDescent="0.25">
      <c r="I66" s="11"/>
      <c r="J66" s="11"/>
    </row>
    <row r="67" spans="9:10" x14ac:dyDescent="0.25">
      <c r="I67" s="11"/>
      <c r="J67" s="11"/>
    </row>
    <row r="68" spans="9:10" x14ac:dyDescent="0.25">
      <c r="I68" s="11"/>
      <c r="J68" s="11"/>
    </row>
    <row r="69" spans="9:10" x14ac:dyDescent="0.25">
      <c r="I69" s="11"/>
      <c r="J69" s="11"/>
    </row>
    <row r="70" spans="9:10" x14ac:dyDescent="0.25">
      <c r="I70" s="11"/>
      <c r="J70" s="11"/>
    </row>
    <row r="71" spans="9:10" x14ac:dyDescent="0.25">
      <c r="I71" s="11"/>
      <c r="J71" s="11"/>
    </row>
    <row r="72" spans="9:10" x14ac:dyDescent="0.25">
      <c r="I72" s="11"/>
      <c r="J72" s="11"/>
    </row>
    <row r="73" spans="9:10" x14ac:dyDescent="0.25">
      <c r="I73" s="11"/>
      <c r="J73" s="11"/>
    </row>
    <row r="74" spans="9:10" x14ac:dyDescent="0.25">
      <c r="I74" s="11"/>
      <c r="J74" s="11"/>
    </row>
    <row r="75" spans="9:10" x14ac:dyDescent="0.25">
      <c r="I75" s="11"/>
      <c r="J75" s="11"/>
    </row>
    <row r="76" spans="9:10" x14ac:dyDescent="0.25">
      <c r="I76" s="11"/>
      <c r="J76" s="11"/>
    </row>
    <row r="77" spans="9:10" x14ac:dyDescent="0.25">
      <c r="I77" s="11"/>
      <c r="J77" s="11"/>
    </row>
    <row r="78" spans="9:10" x14ac:dyDescent="0.25">
      <c r="I78" s="11"/>
      <c r="J78" s="11"/>
    </row>
    <row r="79" spans="9:10" x14ac:dyDescent="0.25">
      <c r="I79" s="11"/>
      <c r="J79" s="11"/>
    </row>
    <row r="80" spans="9:10" x14ac:dyDescent="0.25">
      <c r="I80" s="11"/>
      <c r="J80" s="11"/>
    </row>
    <row r="81" spans="9:10" x14ac:dyDescent="0.25">
      <c r="I81" s="11"/>
      <c r="J81" s="11"/>
    </row>
    <row r="82" spans="9:10" x14ac:dyDescent="0.25">
      <c r="I82" s="11"/>
      <c r="J82" s="11"/>
    </row>
    <row r="83" spans="9:10" x14ac:dyDescent="0.25">
      <c r="I83" s="11"/>
      <c r="J83" s="11"/>
    </row>
    <row r="84" spans="9:10" x14ac:dyDescent="0.25">
      <c r="I84" s="11"/>
      <c r="J84" s="11"/>
    </row>
    <row r="85" spans="9:10" x14ac:dyDescent="0.25">
      <c r="I85" s="11"/>
      <c r="J85" s="11"/>
    </row>
    <row r="86" spans="9:10" x14ac:dyDescent="0.25">
      <c r="I86" s="11"/>
      <c r="J86" s="11"/>
    </row>
    <row r="87" spans="9:10" x14ac:dyDescent="0.25">
      <c r="I87" s="11"/>
      <c r="J87" s="11"/>
    </row>
    <row r="88" spans="9:10" x14ac:dyDescent="0.25">
      <c r="I88" s="11"/>
      <c r="J88" s="11"/>
    </row>
    <row r="89" spans="9:10" x14ac:dyDescent="0.25">
      <c r="I89" s="11"/>
      <c r="J89" s="11"/>
    </row>
    <row r="90" spans="9:10" x14ac:dyDescent="0.25">
      <c r="I90" s="11"/>
      <c r="J90" s="11"/>
    </row>
    <row r="91" spans="9:10" x14ac:dyDescent="0.25">
      <c r="I91" s="11"/>
      <c r="J91" s="11"/>
    </row>
    <row r="92" spans="9:10" x14ac:dyDescent="0.25">
      <c r="I92" s="11"/>
      <c r="J92" s="11"/>
    </row>
    <row r="93" spans="9:10" x14ac:dyDescent="0.25">
      <c r="I93" s="11"/>
      <c r="J93" s="11"/>
    </row>
    <row r="94" spans="9:10" x14ac:dyDescent="0.25">
      <c r="I94" s="11"/>
      <c r="J94" s="11"/>
    </row>
    <row r="95" spans="9:10" x14ac:dyDescent="0.25">
      <c r="I95" s="11"/>
      <c r="J95" s="11"/>
    </row>
    <row r="96" spans="9:10" x14ac:dyDescent="0.25">
      <c r="I96" s="11"/>
      <c r="J96" s="11"/>
    </row>
    <row r="97" spans="9:10" x14ac:dyDescent="0.25">
      <c r="I97" s="11"/>
      <c r="J97" s="11"/>
    </row>
    <row r="98" spans="9:10" x14ac:dyDescent="0.25">
      <c r="I98" s="11"/>
      <c r="J98" s="11"/>
    </row>
    <row r="99" spans="9:10" x14ac:dyDescent="0.25">
      <c r="I99" s="11"/>
      <c r="J99" s="11"/>
    </row>
    <row r="100" spans="9:10" x14ac:dyDescent="0.25">
      <c r="I100" s="11"/>
      <c r="J100" s="11"/>
    </row>
    <row r="101" spans="9:10" x14ac:dyDescent="0.25">
      <c r="I101" s="11"/>
      <c r="J101" s="11"/>
    </row>
    <row r="102" spans="9:10" x14ac:dyDescent="0.25">
      <c r="I102" s="11"/>
      <c r="J102" s="11"/>
    </row>
    <row r="103" spans="9:10" x14ac:dyDescent="0.25">
      <c r="I103" s="11"/>
      <c r="J103" s="11"/>
    </row>
    <row r="104" spans="9:10" x14ac:dyDescent="0.25">
      <c r="I104" s="11"/>
      <c r="J104" s="11"/>
    </row>
    <row r="105" spans="9:10" x14ac:dyDescent="0.25">
      <c r="I105" s="11"/>
      <c r="J105" s="11"/>
    </row>
    <row r="106" spans="9:10" x14ac:dyDescent="0.25">
      <c r="I106" s="11"/>
      <c r="J106" s="11"/>
    </row>
    <row r="107" spans="9:10" x14ac:dyDescent="0.25">
      <c r="I107" s="11"/>
      <c r="J107" s="11"/>
    </row>
    <row r="108" spans="9:10" x14ac:dyDescent="0.25">
      <c r="I108" s="11"/>
      <c r="J108" s="11"/>
    </row>
    <row r="109" spans="9:10" x14ac:dyDescent="0.25">
      <c r="I109" s="11"/>
      <c r="J109" s="11"/>
    </row>
    <row r="110" spans="9:10" x14ac:dyDescent="0.25">
      <c r="I110" s="11"/>
      <c r="J110" s="11"/>
    </row>
    <row r="111" spans="9:10" x14ac:dyDescent="0.25">
      <c r="I111" s="11"/>
      <c r="J111" s="11"/>
    </row>
    <row r="112" spans="9:10" x14ac:dyDescent="0.25">
      <c r="I112" s="11"/>
      <c r="J112" s="11"/>
    </row>
    <row r="113" spans="9:10" x14ac:dyDescent="0.25">
      <c r="I113" s="11"/>
      <c r="J113" s="11"/>
    </row>
    <row r="114" spans="9:10" x14ac:dyDescent="0.25">
      <c r="I114" s="11"/>
      <c r="J114" s="11"/>
    </row>
    <row r="115" spans="9:10" x14ac:dyDescent="0.25">
      <c r="I115" s="11"/>
      <c r="J115" s="11"/>
    </row>
    <row r="116" spans="9:10" x14ac:dyDescent="0.25">
      <c r="I116" s="11"/>
      <c r="J116" s="11"/>
    </row>
    <row r="117" spans="9:10" x14ac:dyDescent="0.25">
      <c r="I117" s="11"/>
      <c r="J117" s="11"/>
    </row>
    <row r="118" spans="9:10" x14ac:dyDescent="0.25">
      <c r="I118" s="11"/>
      <c r="J118" s="11"/>
    </row>
    <row r="119" spans="9:10" x14ac:dyDescent="0.25">
      <c r="I119" s="11"/>
      <c r="J119" s="11"/>
    </row>
    <row r="120" spans="9:10" x14ac:dyDescent="0.25">
      <c r="I120" s="11"/>
      <c r="J120" s="11"/>
    </row>
    <row r="121" spans="9:10" x14ac:dyDescent="0.25">
      <c r="I121" s="11"/>
      <c r="J121" s="11"/>
    </row>
    <row r="122" spans="9:10" x14ac:dyDescent="0.25">
      <c r="I122" s="11"/>
      <c r="J122" s="11"/>
    </row>
    <row r="123" spans="9:10" x14ac:dyDescent="0.25">
      <c r="I123" s="11"/>
      <c r="J123" s="11"/>
    </row>
    <row r="124" spans="9:10" x14ac:dyDescent="0.25">
      <c r="I124" s="11"/>
      <c r="J124" s="11"/>
    </row>
    <row r="125" spans="9:10" x14ac:dyDescent="0.25">
      <c r="I125" s="11"/>
      <c r="J125" s="11"/>
    </row>
    <row r="126" spans="9:10" x14ac:dyDescent="0.25">
      <c r="I126" s="11"/>
      <c r="J126" s="11"/>
    </row>
    <row r="127" spans="9:10" x14ac:dyDescent="0.25">
      <c r="I127" s="11"/>
      <c r="J127" s="11"/>
    </row>
    <row r="128" spans="9:10" x14ac:dyDescent="0.25">
      <c r="I128" s="11"/>
      <c r="J128" s="11"/>
    </row>
    <row r="129" spans="9:10" x14ac:dyDescent="0.25">
      <c r="I129" s="11"/>
      <c r="J129" s="11"/>
    </row>
    <row r="130" spans="9:10" x14ac:dyDescent="0.25">
      <c r="I130" s="11"/>
      <c r="J130" s="11"/>
    </row>
    <row r="131" spans="9:10" x14ac:dyDescent="0.25">
      <c r="I131" s="11"/>
      <c r="J131" s="11"/>
    </row>
    <row r="132" spans="9:10" x14ac:dyDescent="0.25">
      <c r="I132" s="11"/>
      <c r="J132" s="11"/>
    </row>
    <row r="133" spans="9:10" x14ac:dyDescent="0.25">
      <c r="I133" s="11"/>
      <c r="J133" s="11"/>
    </row>
    <row r="134" spans="9:10" x14ac:dyDescent="0.25">
      <c r="I134" s="11"/>
      <c r="J134" s="11"/>
    </row>
    <row r="135" spans="9:10" x14ac:dyDescent="0.25">
      <c r="I135" s="11"/>
      <c r="J135" s="11"/>
    </row>
    <row r="136" spans="9:10" x14ac:dyDescent="0.25">
      <c r="I136" s="11"/>
      <c r="J136" s="11"/>
    </row>
    <row r="137" spans="9:10" x14ac:dyDescent="0.25">
      <c r="I137" s="11"/>
      <c r="J137" s="11"/>
    </row>
    <row r="138" spans="9:10" x14ac:dyDescent="0.25">
      <c r="I138" s="11"/>
      <c r="J138" s="11"/>
    </row>
    <row r="139" spans="9:10" x14ac:dyDescent="0.25">
      <c r="I139" s="11"/>
      <c r="J139" s="11"/>
    </row>
    <row r="140" spans="9:10" x14ac:dyDescent="0.25">
      <c r="I140" s="11"/>
      <c r="J140" s="11"/>
    </row>
    <row r="141" spans="9:10" x14ac:dyDescent="0.25">
      <c r="I141" s="11"/>
      <c r="J141" s="11"/>
    </row>
    <row r="142" spans="9:10" x14ac:dyDescent="0.25">
      <c r="I142" s="11"/>
      <c r="J142" s="11"/>
    </row>
    <row r="143" spans="9:10" x14ac:dyDescent="0.25">
      <c r="I143" s="11"/>
      <c r="J143" s="11"/>
    </row>
    <row r="144" spans="9:10" x14ac:dyDescent="0.25">
      <c r="I144" s="11"/>
      <c r="J144" s="11"/>
    </row>
    <row r="145" spans="9:10" x14ac:dyDescent="0.25">
      <c r="I145" s="11"/>
      <c r="J145" s="11"/>
    </row>
    <row r="146" spans="9:10" x14ac:dyDescent="0.25">
      <c r="I146" s="11"/>
      <c r="J146" s="11"/>
    </row>
    <row r="147" spans="9:10" x14ac:dyDescent="0.25">
      <c r="I147" s="11"/>
      <c r="J147" s="11"/>
    </row>
    <row r="148" spans="9:10" x14ac:dyDescent="0.25">
      <c r="I148" s="11"/>
      <c r="J148" s="11"/>
    </row>
    <row r="149" spans="9:10" x14ac:dyDescent="0.25">
      <c r="I149" s="11"/>
      <c r="J149" s="11"/>
    </row>
    <row r="150" spans="9:10" x14ac:dyDescent="0.25">
      <c r="I150" s="11"/>
      <c r="J150" s="11"/>
    </row>
    <row r="151" spans="9:10" x14ac:dyDescent="0.25">
      <c r="I151" s="11"/>
      <c r="J151" s="11"/>
    </row>
    <row r="152" spans="9:10" x14ac:dyDescent="0.25">
      <c r="I152" s="11"/>
      <c r="J152" s="11"/>
    </row>
    <row r="153" spans="9:10" x14ac:dyDescent="0.25">
      <c r="I153" s="11"/>
      <c r="J153" s="11"/>
    </row>
    <row r="154" spans="9:10" x14ac:dyDescent="0.25">
      <c r="I154" s="11"/>
      <c r="J154" s="11"/>
    </row>
    <row r="155" spans="9:10" x14ac:dyDescent="0.25">
      <c r="I155" s="11"/>
      <c r="J155" s="11"/>
    </row>
    <row r="156" spans="9:10" x14ac:dyDescent="0.25">
      <c r="I156" s="11"/>
      <c r="J156" s="11"/>
    </row>
    <row r="157" spans="9:10" x14ac:dyDescent="0.25">
      <c r="I157" s="11"/>
      <c r="J157" s="11"/>
    </row>
    <row r="158" spans="9:10" x14ac:dyDescent="0.25">
      <c r="I158" s="11"/>
      <c r="J158" s="11"/>
    </row>
    <row r="159" spans="9:10" x14ac:dyDescent="0.25">
      <c r="I159" s="11"/>
      <c r="J159" s="11"/>
    </row>
    <row r="160" spans="9:10" x14ac:dyDescent="0.25">
      <c r="I160" s="11"/>
      <c r="J160" s="11"/>
    </row>
    <row r="161" spans="9:10" x14ac:dyDescent="0.25">
      <c r="I161" s="11"/>
      <c r="J161" s="11"/>
    </row>
    <row r="162" spans="9:10" x14ac:dyDescent="0.25">
      <c r="I162" s="11"/>
      <c r="J162" s="11"/>
    </row>
    <row r="163" spans="9:10" x14ac:dyDescent="0.25">
      <c r="I163" s="11"/>
      <c r="J163" s="11"/>
    </row>
    <row r="164" spans="9:10" x14ac:dyDescent="0.25">
      <c r="I164" s="11"/>
      <c r="J164" s="11"/>
    </row>
    <row r="165" spans="9:10" x14ac:dyDescent="0.25">
      <c r="I165" s="11"/>
      <c r="J165" s="11"/>
    </row>
    <row r="166" spans="9:10" x14ac:dyDescent="0.25">
      <c r="I166" s="11"/>
      <c r="J166" s="11"/>
    </row>
    <row r="167" spans="9:10" x14ac:dyDescent="0.25">
      <c r="I167" s="11"/>
      <c r="J167" s="11"/>
    </row>
    <row r="168" spans="9:10" x14ac:dyDescent="0.25">
      <c r="I168" s="11"/>
      <c r="J168" s="11"/>
    </row>
    <row r="169" spans="9:10" x14ac:dyDescent="0.25">
      <c r="I169" s="11"/>
      <c r="J169" s="11"/>
    </row>
    <row r="170" spans="9:10" x14ac:dyDescent="0.25">
      <c r="I170" s="11"/>
      <c r="J170" s="11"/>
    </row>
    <row r="171" spans="9:10" x14ac:dyDescent="0.25">
      <c r="I171" s="11"/>
      <c r="J171" s="11"/>
    </row>
    <row r="172" spans="9:10" x14ac:dyDescent="0.25">
      <c r="I172" s="11"/>
      <c r="J172" s="11"/>
    </row>
    <row r="173" spans="9:10" x14ac:dyDescent="0.25">
      <c r="I173" s="11"/>
      <c r="J173" s="11"/>
    </row>
    <row r="174" spans="9:10" x14ac:dyDescent="0.25">
      <c r="I174" s="11"/>
      <c r="J174" s="11"/>
    </row>
    <row r="175" spans="9:10" x14ac:dyDescent="0.25">
      <c r="I175" s="11"/>
      <c r="J175" s="11"/>
    </row>
    <row r="176" spans="9:10" x14ac:dyDescent="0.25">
      <c r="I176" s="11"/>
      <c r="J176" s="11"/>
    </row>
    <row r="177" spans="9:10" x14ac:dyDescent="0.25">
      <c r="I177" s="11"/>
      <c r="J177" s="11"/>
    </row>
    <row r="178" spans="9:10" x14ac:dyDescent="0.25">
      <c r="I178" s="11"/>
      <c r="J178" s="11"/>
    </row>
    <row r="179" spans="9:10" x14ac:dyDescent="0.25">
      <c r="I179" s="11"/>
      <c r="J179" s="11"/>
    </row>
    <row r="180" spans="9:10" x14ac:dyDescent="0.25">
      <c r="I180" s="11"/>
      <c r="J180" s="11"/>
    </row>
    <row r="181" spans="9:10" x14ac:dyDescent="0.25">
      <c r="I181" s="11"/>
      <c r="J181" s="11"/>
    </row>
    <row r="182" spans="9:10" x14ac:dyDescent="0.25">
      <c r="I182" s="11"/>
      <c r="J182" s="11"/>
    </row>
    <row r="183" spans="9:10" x14ac:dyDescent="0.25">
      <c r="I183" s="11"/>
      <c r="J183" s="11"/>
    </row>
    <row r="184" spans="9:10" x14ac:dyDescent="0.25">
      <c r="I184" s="11"/>
      <c r="J184" s="11"/>
    </row>
    <row r="185" spans="9:10" x14ac:dyDescent="0.25">
      <c r="I185" s="11"/>
      <c r="J185" s="11"/>
    </row>
    <row r="186" spans="9:10" x14ac:dyDescent="0.25">
      <c r="I186" s="11"/>
      <c r="J186" s="11"/>
    </row>
    <row r="187" spans="9:10" x14ac:dyDescent="0.25">
      <c r="I187" s="11"/>
      <c r="J187" s="11"/>
    </row>
    <row r="188" spans="9:10" x14ac:dyDescent="0.25">
      <c r="I188" s="11"/>
      <c r="J188" s="11"/>
    </row>
    <row r="189" spans="9:10" x14ac:dyDescent="0.25">
      <c r="I189" s="11"/>
      <c r="J189" s="11"/>
    </row>
    <row r="190" spans="9:10" x14ac:dyDescent="0.25">
      <c r="I190" s="11"/>
      <c r="J190" s="11"/>
    </row>
    <row r="191" spans="9:10" x14ac:dyDescent="0.25">
      <c r="I191" s="11"/>
      <c r="J191" s="11"/>
    </row>
    <row r="192" spans="9:10" x14ac:dyDescent="0.25">
      <c r="I192" s="11"/>
      <c r="J192" s="11"/>
    </row>
    <row r="193" spans="9:10" x14ac:dyDescent="0.25">
      <c r="I193" s="11"/>
      <c r="J193" s="11"/>
    </row>
    <row r="194" spans="9:10" x14ac:dyDescent="0.25">
      <c r="I194" s="11"/>
      <c r="J194" s="11"/>
    </row>
    <row r="195" spans="9:10" x14ac:dyDescent="0.25">
      <c r="I195" s="11"/>
      <c r="J195" s="11"/>
    </row>
    <row r="196" spans="9:10" x14ac:dyDescent="0.25">
      <c r="I196" s="11"/>
      <c r="J196" s="11"/>
    </row>
    <row r="197" spans="9:10" x14ac:dyDescent="0.25">
      <c r="I197" s="11"/>
      <c r="J197" s="11"/>
    </row>
    <row r="198" spans="9:10" x14ac:dyDescent="0.25">
      <c r="I198" s="11"/>
      <c r="J198" s="11"/>
    </row>
    <row r="199" spans="9:10" x14ac:dyDescent="0.25">
      <c r="I199" s="11"/>
      <c r="J199" s="11"/>
    </row>
    <row r="200" spans="9:10" x14ac:dyDescent="0.25">
      <c r="I200" s="11"/>
      <c r="J200" s="11"/>
    </row>
    <row r="201" spans="9:10" x14ac:dyDescent="0.25">
      <c r="I201" s="11"/>
      <c r="J201" s="11"/>
    </row>
    <row r="202" spans="9:10" x14ac:dyDescent="0.25">
      <c r="I202" s="11"/>
      <c r="J202" s="11"/>
    </row>
    <row r="203" spans="9:10" x14ac:dyDescent="0.25">
      <c r="I203" s="11"/>
      <c r="J203" s="11"/>
    </row>
    <row r="204" spans="9:10" x14ac:dyDescent="0.25">
      <c r="I204" s="11"/>
      <c r="J204" s="11"/>
    </row>
    <row r="205" spans="9:10" x14ac:dyDescent="0.25">
      <c r="I205" s="11"/>
      <c r="J205" s="11"/>
    </row>
    <row r="206" spans="9:10" x14ac:dyDescent="0.25">
      <c r="I206" s="11"/>
      <c r="J206" s="11"/>
    </row>
    <row r="207" spans="9:10" x14ac:dyDescent="0.25">
      <c r="I207" s="11"/>
      <c r="J207" s="11"/>
    </row>
    <row r="208" spans="9:10" x14ac:dyDescent="0.25">
      <c r="I208" s="11"/>
      <c r="J208" s="11"/>
    </row>
    <row r="209" spans="9:10" x14ac:dyDescent="0.25">
      <c r="I209" s="11"/>
      <c r="J209" s="11"/>
    </row>
    <row r="210" spans="9:10" x14ac:dyDescent="0.25">
      <c r="I210" s="11"/>
      <c r="J210" s="11"/>
    </row>
    <row r="211" spans="9:10" x14ac:dyDescent="0.25">
      <c r="I211" s="11"/>
      <c r="J211" s="11"/>
    </row>
    <row r="212" spans="9:10" x14ac:dyDescent="0.25">
      <c r="I212" s="11"/>
      <c r="J212" s="11"/>
    </row>
    <row r="213" spans="9:10" x14ac:dyDescent="0.25">
      <c r="I213" s="11"/>
      <c r="J213" s="11"/>
    </row>
    <row r="214" spans="9:10" x14ac:dyDescent="0.25">
      <c r="I214" s="11"/>
      <c r="J214" s="11"/>
    </row>
    <row r="215" spans="9:10" x14ac:dyDescent="0.25">
      <c r="I215" s="11"/>
      <c r="J215" s="11"/>
    </row>
    <row r="216" spans="9:10" x14ac:dyDescent="0.25">
      <c r="I216" s="11"/>
      <c r="J216" s="11"/>
    </row>
    <row r="217" spans="9:10" x14ac:dyDescent="0.25">
      <c r="I217" s="11"/>
      <c r="J217" s="11"/>
    </row>
    <row r="218" spans="9:10" x14ac:dyDescent="0.25">
      <c r="I218" s="11"/>
      <c r="J218" s="11"/>
    </row>
    <row r="219" spans="9:10" x14ac:dyDescent="0.25">
      <c r="I219" s="11"/>
      <c r="J219" s="11"/>
    </row>
    <row r="220" spans="9:10" x14ac:dyDescent="0.25">
      <c r="I220" s="11"/>
      <c r="J220" s="11"/>
    </row>
    <row r="221" spans="9:10" x14ac:dyDescent="0.25">
      <c r="I221" s="11"/>
      <c r="J221" s="11"/>
    </row>
    <row r="222" spans="9:10" x14ac:dyDescent="0.25">
      <c r="I222" s="11"/>
      <c r="J222" s="11"/>
    </row>
    <row r="223" spans="9:10" x14ac:dyDescent="0.25">
      <c r="I223" s="11"/>
      <c r="J223" s="11"/>
    </row>
    <row r="224" spans="9:10" x14ac:dyDescent="0.25">
      <c r="I224" s="11"/>
      <c r="J224" s="11"/>
    </row>
    <row r="225" spans="9:10" x14ac:dyDescent="0.25">
      <c r="I225" s="11"/>
      <c r="J225" s="11"/>
    </row>
    <row r="226" spans="9:10" x14ac:dyDescent="0.25">
      <c r="I226" s="11"/>
      <c r="J226" s="11"/>
    </row>
    <row r="227" spans="9:10" x14ac:dyDescent="0.25">
      <c r="I227" s="11"/>
      <c r="J227" s="11"/>
    </row>
    <row r="228" spans="9:10" x14ac:dyDescent="0.25">
      <c r="I228" s="11"/>
      <c r="J228" s="11"/>
    </row>
    <row r="229" spans="9:10" x14ac:dyDescent="0.25">
      <c r="I229" s="11"/>
      <c r="J229" s="11"/>
    </row>
    <row r="230" spans="9:10" x14ac:dyDescent="0.25">
      <c r="I230" s="11"/>
      <c r="J230" s="11"/>
    </row>
    <row r="231" spans="9:10" x14ac:dyDescent="0.25">
      <c r="I231" s="11"/>
      <c r="J231" s="11"/>
    </row>
    <row r="232" spans="9:10" x14ac:dyDescent="0.25">
      <c r="I232" s="11"/>
      <c r="J232" s="11"/>
    </row>
    <row r="233" spans="9:10" x14ac:dyDescent="0.25">
      <c r="I233" s="11"/>
      <c r="J233" s="11"/>
    </row>
    <row r="234" spans="9:10" x14ac:dyDescent="0.25">
      <c r="I234" s="11"/>
      <c r="J234" s="11"/>
    </row>
    <row r="235" spans="9:10" x14ac:dyDescent="0.25">
      <c r="I235" s="11"/>
      <c r="J235" s="11"/>
    </row>
    <row r="236" spans="9:10" x14ac:dyDescent="0.25">
      <c r="I236" s="11"/>
      <c r="J236" s="11"/>
    </row>
    <row r="237" spans="9:10" x14ac:dyDescent="0.25">
      <c r="I237" s="11"/>
      <c r="J237" s="11"/>
    </row>
    <row r="238" spans="9:10" x14ac:dyDescent="0.25">
      <c r="I238" s="11"/>
      <c r="J238" s="11"/>
    </row>
    <row r="239" spans="9:10" x14ac:dyDescent="0.25">
      <c r="I239" s="11"/>
      <c r="J239" s="11"/>
    </row>
    <row r="240" spans="9:10" x14ac:dyDescent="0.25">
      <c r="I240" s="11"/>
      <c r="J240" s="11"/>
    </row>
    <row r="241" spans="9:10" x14ac:dyDescent="0.25">
      <c r="I241" s="11"/>
      <c r="J241" s="11"/>
    </row>
    <row r="242" spans="9:10" x14ac:dyDescent="0.25">
      <c r="I242" s="11"/>
      <c r="J242" s="11"/>
    </row>
    <row r="243" spans="9:10" x14ac:dyDescent="0.25">
      <c r="I243" s="11"/>
      <c r="J243" s="11"/>
    </row>
    <row r="244" spans="9:10" x14ac:dyDescent="0.25">
      <c r="I244" s="11"/>
      <c r="J244" s="11"/>
    </row>
    <row r="245" spans="9:10" x14ac:dyDescent="0.25">
      <c r="I245" s="11"/>
      <c r="J245" s="11"/>
    </row>
    <row r="246" spans="9:10" x14ac:dyDescent="0.25">
      <c r="I246" s="11"/>
      <c r="J246" s="11"/>
    </row>
    <row r="247" spans="9:10" x14ac:dyDescent="0.25">
      <c r="I247" s="11"/>
      <c r="J247" s="11"/>
    </row>
    <row r="248" spans="9:10" x14ac:dyDescent="0.25">
      <c r="I248" s="11"/>
      <c r="J248" s="11"/>
    </row>
    <row r="249" spans="9:10" x14ac:dyDescent="0.25">
      <c r="I249" s="11"/>
      <c r="J249" s="11"/>
    </row>
    <row r="250" spans="9:10" x14ac:dyDescent="0.25">
      <c r="I250" s="11"/>
      <c r="J250" s="11"/>
    </row>
    <row r="251" spans="9:10" x14ac:dyDescent="0.25">
      <c r="I251" s="11"/>
      <c r="J251" s="11"/>
    </row>
    <row r="252" spans="9:10" x14ac:dyDescent="0.25">
      <c r="I252" s="11"/>
      <c r="J252" s="11"/>
    </row>
    <row r="253" spans="9:10" x14ac:dyDescent="0.25">
      <c r="I253" s="11"/>
      <c r="J253" s="11"/>
    </row>
    <row r="254" spans="9:10" x14ac:dyDescent="0.25">
      <c r="I254" s="11"/>
      <c r="J254" s="11"/>
    </row>
    <row r="255" spans="9:10" x14ac:dyDescent="0.25">
      <c r="I255" s="11"/>
      <c r="J255" s="11"/>
    </row>
    <row r="256" spans="9:10" x14ac:dyDescent="0.25">
      <c r="I256" s="11"/>
      <c r="J256" s="11"/>
    </row>
    <row r="257" spans="9:10" x14ac:dyDescent="0.25">
      <c r="I257" s="11"/>
      <c r="J257" s="11"/>
    </row>
    <row r="258" spans="9:10" x14ac:dyDescent="0.25">
      <c r="I258" s="11"/>
      <c r="J258" s="11"/>
    </row>
    <row r="259" spans="9:10" x14ac:dyDescent="0.25">
      <c r="I259" s="11"/>
      <c r="J259" s="11"/>
    </row>
    <row r="260" spans="9:10" x14ac:dyDescent="0.25">
      <c r="I260" s="11"/>
      <c r="J260" s="11"/>
    </row>
    <row r="261" spans="9:10" x14ac:dyDescent="0.25">
      <c r="I261" s="11"/>
      <c r="J261" s="11"/>
    </row>
    <row r="262" spans="9:10" x14ac:dyDescent="0.25">
      <c r="I262" s="11"/>
      <c r="J262" s="11"/>
    </row>
    <row r="263" spans="9:10" x14ac:dyDescent="0.25">
      <c r="I263" s="11"/>
      <c r="J263" s="11"/>
    </row>
    <row r="264" spans="9:10" x14ac:dyDescent="0.25">
      <c r="I264" s="11"/>
      <c r="J264" s="11"/>
    </row>
    <row r="265" spans="9:10" x14ac:dyDescent="0.25">
      <c r="I265" s="11"/>
      <c r="J265" s="11"/>
    </row>
    <row r="266" spans="9:10" x14ac:dyDescent="0.25">
      <c r="I266" s="11"/>
      <c r="J266" s="11"/>
    </row>
    <row r="267" spans="9:10" x14ac:dyDescent="0.25">
      <c r="I267" s="11"/>
      <c r="J267" s="11"/>
    </row>
    <row r="268" spans="9:10" x14ac:dyDescent="0.25">
      <c r="I268" s="11"/>
      <c r="J268" s="11"/>
    </row>
    <row r="269" spans="9:10" x14ac:dyDescent="0.25">
      <c r="I269" s="11"/>
      <c r="J269" s="11"/>
    </row>
    <row r="270" spans="9:10" x14ac:dyDescent="0.25">
      <c r="I270" s="11"/>
      <c r="J270" s="11"/>
    </row>
    <row r="271" spans="9:10" x14ac:dyDescent="0.25">
      <c r="I271" s="11"/>
      <c r="J271" s="11"/>
    </row>
    <row r="272" spans="9:10" x14ac:dyDescent="0.25">
      <c r="I272" s="11"/>
      <c r="J272" s="11"/>
    </row>
    <row r="273" spans="9:10" x14ac:dyDescent="0.25">
      <c r="I273" s="11"/>
      <c r="J273" s="11"/>
    </row>
    <row r="274" spans="9:10" x14ac:dyDescent="0.25">
      <c r="I274" s="11"/>
      <c r="J274" s="11"/>
    </row>
    <row r="275" spans="9:10" x14ac:dyDescent="0.25">
      <c r="I275" s="11"/>
      <c r="J275" s="11"/>
    </row>
    <row r="276" spans="9:10" x14ac:dyDescent="0.25">
      <c r="I276" s="11"/>
      <c r="J276" s="11"/>
    </row>
    <row r="277" spans="9:10" x14ac:dyDescent="0.25">
      <c r="I277" s="11"/>
      <c r="J277" s="11"/>
    </row>
    <row r="278" spans="9:10" x14ac:dyDescent="0.25">
      <c r="I278" s="11"/>
      <c r="J278" s="11"/>
    </row>
    <row r="279" spans="9:10" x14ac:dyDescent="0.25">
      <c r="I279" s="11"/>
      <c r="J279" s="11"/>
    </row>
    <row r="280" spans="9:10" x14ac:dyDescent="0.25">
      <c r="I280" s="11"/>
      <c r="J280" s="11"/>
    </row>
    <row r="281" spans="9:10" x14ac:dyDescent="0.25">
      <c r="I281" s="11"/>
      <c r="J281" s="11"/>
    </row>
    <row r="282" spans="9:10" x14ac:dyDescent="0.25">
      <c r="I282" s="11"/>
      <c r="J282" s="11"/>
    </row>
    <row r="283" spans="9:10" x14ac:dyDescent="0.25">
      <c r="I283" s="11"/>
      <c r="J283" s="11"/>
    </row>
    <row r="284" spans="9:10" x14ac:dyDescent="0.25">
      <c r="I284" s="11"/>
      <c r="J284" s="11"/>
    </row>
    <row r="285" spans="9:10" x14ac:dyDescent="0.25">
      <c r="I285" s="11"/>
      <c r="J285" s="11"/>
    </row>
    <row r="286" spans="9:10" x14ac:dyDescent="0.25">
      <c r="I286" s="11"/>
      <c r="J286" s="11"/>
    </row>
    <row r="287" spans="9:10" x14ac:dyDescent="0.25">
      <c r="I287" s="11"/>
      <c r="J287" s="11"/>
    </row>
    <row r="288" spans="9:10" x14ac:dyDescent="0.25">
      <c r="I288" s="11"/>
      <c r="J288" s="11"/>
    </row>
    <row r="289" spans="9:10" x14ac:dyDescent="0.25">
      <c r="I289" s="11"/>
      <c r="J289" s="11"/>
    </row>
    <row r="290" spans="9:10" x14ac:dyDescent="0.25">
      <c r="I290" s="11"/>
      <c r="J290" s="11"/>
    </row>
    <row r="291" spans="9:10" x14ac:dyDescent="0.25">
      <c r="I291" s="11"/>
      <c r="J291" s="11"/>
    </row>
    <row r="292" spans="9:10" x14ac:dyDescent="0.25">
      <c r="I292" s="11"/>
      <c r="J292" s="11"/>
    </row>
    <row r="293" spans="9:10" x14ac:dyDescent="0.25">
      <c r="I293" s="11"/>
      <c r="J293" s="11"/>
    </row>
    <row r="294" spans="9:10" x14ac:dyDescent="0.25">
      <c r="I294" s="11"/>
      <c r="J294" s="11"/>
    </row>
    <row r="295" spans="9:10" x14ac:dyDescent="0.25">
      <c r="I295" s="11"/>
      <c r="J295" s="11"/>
    </row>
    <row r="296" spans="9:10" x14ac:dyDescent="0.25">
      <c r="I296" s="11"/>
      <c r="J296" s="11"/>
    </row>
    <row r="297" spans="9:10" x14ac:dyDescent="0.25">
      <c r="I297" s="11"/>
      <c r="J297" s="11"/>
    </row>
    <row r="298" spans="9:10" x14ac:dyDescent="0.25">
      <c r="I298" s="11"/>
      <c r="J298" s="11"/>
    </row>
    <row r="299" spans="9:10" x14ac:dyDescent="0.25">
      <c r="I299" s="11"/>
      <c r="J299" s="11"/>
    </row>
    <row r="300" spans="9:10" x14ac:dyDescent="0.25">
      <c r="I300" s="11"/>
      <c r="J300" s="11"/>
    </row>
    <row r="301" spans="9:10" x14ac:dyDescent="0.25">
      <c r="I301" s="11"/>
      <c r="J301" s="11"/>
    </row>
    <row r="302" spans="9:10" x14ac:dyDescent="0.25">
      <c r="I302" s="11"/>
      <c r="J302" s="11"/>
    </row>
    <row r="303" spans="9:10" x14ac:dyDescent="0.25">
      <c r="I303" s="11"/>
      <c r="J303" s="11"/>
    </row>
    <row r="304" spans="9:10" x14ac:dyDescent="0.25">
      <c r="I304" s="11"/>
      <c r="J304" s="11"/>
    </row>
    <row r="305" spans="9:10" x14ac:dyDescent="0.25">
      <c r="I305" s="11"/>
      <c r="J305" s="11"/>
    </row>
    <row r="306" spans="9:10" x14ac:dyDescent="0.25">
      <c r="I306" s="11"/>
      <c r="J306" s="11"/>
    </row>
    <row r="307" spans="9:10" x14ac:dyDescent="0.25">
      <c r="I307" s="11"/>
      <c r="J307" s="11"/>
    </row>
    <row r="308" spans="9:10" x14ac:dyDescent="0.25">
      <c r="I308" s="11"/>
      <c r="J308" s="11"/>
    </row>
    <row r="309" spans="9:10" x14ac:dyDescent="0.25">
      <c r="I309" s="11"/>
      <c r="J309" s="11"/>
    </row>
    <row r="310" spans="9:10" x14ac:dyDescent="0.25">
      <c r="I310" s="11"/>
      <c r="J310" s="11"/>
    </row>
    <row r="311" spans="9:10" x14ac:dyDescent="0.25">
      <c r="I311" s="11"/>
      <c r="J311" s="11"/>
    </row>
    <row r="312" spans="9:10" x14ac:dyDescent="0.25">
      <c r="I312" s="11"/>
      <c r="J312" s="11"/>
    </row>
    <row r="313" spans="9:10" x14ac:dyDescent="0.25">
      <c r="I313" s="11"/>
      <c r="J313" s="11"/>
    </row>
    <row r="314" spans="9:10" x14ac:dyDescent="0.25">
      <c r="I314" s="11"/>
      <c r="J314" s="11"/>
    </row>
    <row r="315" spans="9:10" x14ac:dyDescent="0.25">
      <c r="I315" s="11"/>
      <c r="J315" s="11"/>
    </row>
    <row r="316" spans="9:10" x14ac:dyDescent="0.25">
      <c r="I316" s="11"/>
      <c r="J316" s="11"/>
    </row>
    <row r="317" spans="9:10" x14ac:dyDescent="0.25">
      <c r="I317" s="11"/>
      <c r="J317" s="11"/>
    </row>
    <row r="318" spans="9:10" x14ac:dyDescent="0.25">
      <c r="I318" s="11"/>
      <c r="J318" s="11"/>
    </row>
    <row r="319" spans="9:10" x14ac:dyDescent="0.25">
      <c r="I319" s="11"/>
      <c r="J319" s="11"/>
    </row>
    <row r="320" spans="9:10" x14ac:dyDescent="0.25">
      <c r="I320" s="11"/>
      <c r="J320" s="11"/>
    </row>
    <row r="321" spans="9:10" x14ac:dyDescent="0.25">
      <c r="I321" s="11"/>
      <c r="J321" s="11"/>
    </row>
    <row r="322" spans="9:10" x14ac:dyDescent="0.25">
      <c r="I322" s="11"/>
      <c r="J322" s="11"/>
    </row>
    <row r="323" spans="9:10" x14ac:dyDescent="0.25">
      <c r="I323" s="11"/>
      <c r="J323" s="11"/>
    </row>
    <row r="324" spans="9:10" x14ac:dyDescent="0.25">
      <c r="I324" s="11"/>
      <c r="J324" s="11"/>
    </row>
    <row r="325" spans="9:10" x14ac:dyDescent="0.25">
      <c r="I325" s="11"/>
      <c r="J325" s="11"/>
    </row>
    <row r="326" spans="9:10" x14ac:dyDescent="0.25">
      <c r="I326" s="11"/>
      <c r="J326" s="11"/>
    </row>
    <row r="327" spans="9:10" x14ac:dyDescent="0.25">
      <c r="I327" s="11"/>
      <c r="J327" s="11"/>
    </row>
    <row r="328" spans="9:10" x14ac:dyDescent="0.25">
      <c r="I328" s="11"/>
      <c r="J328" s="11"/>
    </row>
    <row r="329" spans="9:10" x14ac:dyDescent="0.25">
      <c r="I329" s="11"/>
      <c r="J329" s="11"/>
    </row>
    <row r="330" spans="9:10" x14ac:dyDescent="0.25">
      <c r="I330" s="11"/>
      <c r="J330" s="11"/>
    </row>
    <row r="331" spans="9:10" x14ac:dyDescent="0.25">
      <c r="I331" s="11"/>
      <c r="J331" s="11"/>
    </row>
    <row r="332" spans="9:10" x14ac:dyDescent="0.25">
      <c r="I332" s="11"/>
      <c r="J332" s="11"/>
    </row>
    <row r="333" spans="9:10" x14ac:dyDescent="0.25">
      <c r="I333" s="11"/>
      <c r="J333" s="11"/>
    </row>
    <row r="334" spans="9:10" x14ac:dyDescent="0.25">
      <c r="I334" s="11"/>
      <c r="J334" s="11"/>
    </row>
    <row r="335" spans="9:10" x14ac:dyDescent="0.25">
      <c r="I335" s="11"/>
      <c r="J335" s="11"/>
    </row>
    <row r="336" spans="9:10" x14ac:dyDescent="0.25">
      <c r="I336" s="11"/>
      <c r="J336" s="11"/>
    </row>
    <row r="337" spans="9:10" x14ac:dyDescent="0.25">
      <c r="I337" s="11"/>
      <c r="J337" s="11"/>
    </row>
    <row r="338" spans="9:10" x14ac:dyDescent="0.25">
      <c r="I338" s="11"/>
      <c r="J338" s="11"/>
    </row>
    <row r="339" spans="9:10" x14ac:dyDescent="0.25">
      <c r="I339" s="11"/>
      <c r="J339" s="11"/>
    </row>
    <row r="340" spans="9:10" x14ac:dyDescent="0.25">
      <c r="I340" s="11"/>
      <c r="J340" s="11"/>
    </row>
    <row r="341" spans="9:10" x14ac:dyDescent="0.25">
      <c r="I341" s="11"/>
      <c r="J341" s="11"/>
    </row>
    <row r="342" spans="9:10" x14ac:dyDescent="0.25">
      <c r="I342" s="11"/>
      <c r="J342" s="11"/>
    </row>
    <row r="343" spans="9:10" x14ac:dyDescent="0.25">
      <c r="I343" s="11"/>
      <c r="J343" s="11"/>
    </row>
    <row r="344" spans="9:10" x14ac:dyDescent="0.25">
      <c r="I344" s="11"/>
      <c r="J344" s="11"/>
    </row>
    <row r="345" spans="9:10" x14ac:dyDescent="0.25">
      <c r="I345" s="11"/>
      <c r="J345" s="11"/>
    </row>
    <row r="346" spans="9:10" x14ac:dyDescent="0.25">
      <c r="I346" s="11"/>
      <c r="J346" s="11"/>
    </row>
    <row r="347" spans="9:10" x14ac:dyDescent="0.25">
      <c r="I347" s="11"/>
      <c r="J347" s="11"/>
    </row>
    <row r="348" spans="9:10" x14ac:dyDescent="0.25">
      <c r="I348" s="11"/>
      <c r="J348" s="11"/>
    </row>
    <row r="349" spans="9:10" x14ac:dyDescent="0.25">
      <c r="I349" s="11"/>
      <c r="J349" s="11"/>
    </row>
    <row r="350" spans="9:10" x14ac:dyDescent="0.25">
      <c r="I350" s="11"/>
      <c r="J350" s="11"/>
    </row>
    <row r="351" spans="9:10" x14ac:dyDescent="0.25">
      <c r="I351" s="11"/>
      <c r="J351" s="11"/>
    </row>
    <row r="352" spans="9:10" x14ac:dyDescent="0.25">
      <c r="I352" s="11"/>
      <c r="J352" s="11"/>
    </row>
    <row r="353" spans="9:10" x14ac:dyDescent="0.25">
      <c r="I353" s="11"/>
      <c r="J353" s="11"/>
    </row>
    <row r="354" spans="9:10" x14ac:dyDescent="0.25">
      <c r="I354" s="11"/>
      <c r="J354" s="11"/>
    </row>
    <row r="355" spans="9:10" x14ac:dyDescent="0.25">
      <c r="I355" s="11"/>
      <c r="J355" s="11"/>
    </row>
    <row r="356" spans="9:10" x14ac:dyDescent="0.25">
      <c r="I356" s="11"/>
      <c r="J356" s="11"/>
    </row>
    <row r="357" spans="9:10" x14ac:dyDescent="0.25">
      <c r="I357" s="11"/>
      <c r="J357" s="11"/>
    </row>
    <row r="358" spans="9:10" x14ac:dyDescent="0.25">
      <c r="I358" s="11"/>
      <c r="J358" s="11"/>
    </row>
    <row r="359" spans="9:10" x14ac:dyDescent="0.25">
      <c r="I359" s="11"/>
      <c r="J359" s="11"/>
    </row>
    <row r="360" spans="9:10" x14ac:dyDescent="0.25">
      <c r="I360" s="11"/>
      <c r="J360" s="11"/>
    </row>
    <row r="361" spans="9:10" x14ac:dyDescent="0.25">
      <c r="I361" s="11"/>
      <c r="J361" s="11"/>
    </row>
    <row r="362" spans="9:10" x14ac:dyDescent="0.25">
      <c r="I362" s="11"/>
      <c r="J362" s="11"/>
    </row>
    <row r="363" spans="9:10" x14ac:dyDescent="0.25">
      <c r="I363" s="11"/>
      <c r="J363" s="11"/>
    </row>
    <row r="364" spans="9:10" x14ac:dyDescent="0.25">
      <c r="I364" s="11"/>
      <c r="J364" s="11"/>
    </row>
    <row r="365" spans="9:10" x14ac:dyDescent="0.25">
      <c r="I365" s="11"/>
      <c r="J365" s="11"/>
    </row>
    <row r="366" spans="9:10" x14ac:dyDescent="0.25">
      <c r="I366" s="11"/>
      <c r="J366" s="11"/>
    </row>
    <row r="367" spans="9:10" x14ac:dyDescent="0.25">
      <c r="I367" s="11"/>
      <c r="J367" s="11"/>
    </row>
    <row r="368" spans="9:10" x14ac:dyDescent="0.25">
      <c r="I368" s="11"/>
      <c r="J368" s="11"/>
    </row>
    <row r="369" spans="9:10" x14ac:dyDescent="0.25">
      <c r="I369" s="11"/>
      <c r="J369" s="11"/>
    </row>
    <row r="370" spans="9:10" x14ac:dyDescent="0.25">
      <c r="I370" s="11"/>
      <c r="J370" s="11"/>
    </row>
    <row r="371" spans="9:10" x14ac:dyDescent="0.25">
      <c r="I371" s="11"/>
      <c r="J371" s="11"/>
    </row>
    <row r="372" spans="9:10" x14ac:dyDescent="0.25">
      <c r="I372" s="11"/>
      <c r="J372" s="11"/>
    </row>
    <row r="373" spans="9:10" x14ac:dyDescent="0.25">
      <c r="I373" s="11"/>
      <c r="J373" s="11"/>
    </row>
    <row r="374" spans="9:10" x14ac:dyDescent="0.25">
      <c r="I374" s="11"/>
      <c r="J374" s="11"/>
    </row>
    <row r="375" spans="9:10" x14ac:dyDescent="0.25">
      <c r="I375" s="11"/>
      <c r="J375" s="11"/>
    </row>
    <row r="376" spans="9:10" x14ac:dyDescent="0.25">
      <c r="I376" s="11"/>
      <c r="J376" s="11"/>
    </row>
    <row r="377" spans="9:10" x14ac:dyDescent="0.25">
      <c r="I377" s="11"/>
      <c r="J377" s="11"/>
    </row>
    <row r="378" spans="9:10" x14ac:dyDescent="0.25">
      <c r="I378" s="11"/>
      <c r="J378" s="11"/>
    </row>
    <row r="379" spans="9:10" x14ac:dyDescent="0.25">
      <c r="I379" s="11"/>
      <c r="J379" s="11"/>
    </row>
    <row r="380" spans="9:10" x14ac:dyDescent="0.25">
      <c r="I380" s="11"/>
      <c r="J380" s="11"/>
    </row>
    <row r="381" spans="9:10" x14ac:dyDescent="0.25">
      <c r="I381" s="11"/>
      <c r="J381" s="11"/>
    </row>
    <row r="382" spans="9:10" x14ac:dyDescent="0.25">
      <c r="I382" s="11"/>
      <c r="J382" s="11"/>
    </row>
    <row r="383" spans="9:10" x14ac:dyDescent="0.25">
      <c r="I383" s="11"/>
      <c r="J383" s="11"/>
    </row>
    <row r="384" spans="9:10" x14ac:dyDescent="0.25">
      <c r="I384" s="11"/>
      <c r="J384" s="11"/>
    </row>
    <row r="385" spans="9:10" x14ac:dyDescent="0.25">
      <c r="I385" s="11"/>
      <c r="J385" s="11"/>
    </row>
    <row r="386" spans="9:10" x14ac:dyDescent="0.25">
      <c r="I386" s="11"/>
      <c r="J386" s="11"/>
    </row>
    <row r="387" spans="9:10" x14ac:dyDescent="0.25">
      <c r="I387" s="11"/>
      <c r="J387" s="11"/>
    </row>
    <row r="388" spans="9:10" x14ac:dyDescent="0.25">
      <c r="I388" s="11"/>
      <c r="J388" s="11"/>
    </row>
    <row r="389" spans="9:10" x14ac:dyDescent="0.25">
      <c r="I389" s="11"/>
      <c r="J389" s="11"/>
    </row>
    <row r="390" spans="9:10" x14ac:dyDescent="0.25">
      <c r="I390" s="11"/>
      <c r="J390" s="11"/>
    </row>
    <row r="391" spans="9:10" x14ac:dyDescent="0.25">
      <c r="I391" s="11"/>
      <c r="J391" s="11"/>
    </row>
    <row r="392" spans="9:10" x14ac:dyDescent="0.25">
      <c r="I392" s="11"/>
      <c r="J392" s="11"/>
    </row>
    <row r="393" spans="9:10" x14ac:dyDescent="0.25">
      <c r="I393" s="11"/>
      <c r="J393" s="11"/>
    </row>
    <row r="394" spans="9:10" x14ac:dyDescent="0.25">
      <c r="I394" s="11"/>
      <c r="J394" s="11"/>
    </row>
    <row r="395" spans="9:10" x14ac:dyDescent="0.25">
      <c r="I395" s="11"/>
      <c r="J395" s="11"/>
    </row>
    <row r="396" spans="9:10" x14ac:dyDescent="0.25">
      <c r="I396" s="11"/>
      <c r="J396" s="11"/>
    </row>
    <row r="397" spans="9:10" x14ac:dyDescent="0.25">
      <c r="I397" s="11"/>
      <c r="J397" s="11"/>
    </row>
    <row r="398" spans="9:10" x14ac:dyDescent="0.25">
      <c r="I398" s="11"/>
      <c r="J398" s="11"/>
    </row>
    <row r="399" spans="9:10" x14ac:dyDescent="0.25">
      <c r="I399" s="11"/>
      <c r="J399" s="11"/>
    </row>
    <row r="400" spans="9:10" x14ac:dyDescent="0.25">
      <c r="I400" s="11"/>
      <c r="J400" s="11"/>
    </row>
    <row r="401" spans="9:10" x14ac:dyDescent="0.25">
      <c r="I401" s="11"/>
      <c r="J401" s="11"/>
    </row>
    <row r="402" spans="9:10" x14ac:dyDescent="0.25">
      <c r="I402" s="11"/>
      <c r="J402" s="11"/>
    </row>
    <row r="403" spans="9:10" x14ac:dyDescent="0.25">
      <c r="I403" s="11"/>
      <c r="J403" s="11"/>
    </row>
    <row r="404" spans="9:10" x14ac:dyDescent="0.25">
      <c r="I404" s="11"/>
      <c r="J404" s="11"/>
    </row>
    <row r="405" spans="9:10" x14ac:dyDescent="0.25">
      <c r="I405" s="11"/>
      <c r="J405" s="11"/>
    </row>
    <row r="406" spans="9:10" x14ac:dyDescent="0.25">
      <c r="I406" s="11"/>
      <c r="J406" s="11"/>
    </row>
    <row r="407" spans="9:10" x14ac:dyDescent="0.25">
      <c r="I407" s="11"/>
      <c r="J407" s="11"/>
    </row>
    <row r="408" spans="9:10" x14ac:dyDescent="0.25">
      <c r="I408" s="11"/>
      <c r="J408" s="11"/>
    </row>
    <row r="409" spans="9:10" x14ac:dyDescent="0.25">
      <c r="I409" s="11"/>
      <c r="J409" s="11"/>
    </row>
    <row r="410" spans="9:10" x14ac:dyDescent="0.25">
      <c r="I410" s="11"/>
      <c r="J410" s="11"/>
    </row>
    <row r="411" spans="9:10" x14ac:dyDescent="0.25">
      <c r="I411" s="11"/>
      <c r="J411" s="11"/>
    </row>
    <row r="412" spans="9:10" x14ac:dyDescent="0.25">
      <c r="I412" s="11"/>
      <c r="J412" s="11"/>
    </row>
    <row r="413" spans="9:10" x14ac:dyDescent="0.25">
      <c r="I413" s="11"/>
      <c r="J413" s="11"/>
    </row>
    <row r="414" spans="9:10" x14ac:dyDescent="0.25">
      <c r="I414" s="11"/>
      <c r="J414" s="11"/>
    </row>
    <row r="415" spans="9:10" x14ac:dyDescent="0.25">
      <c r="I415" s="11"/>
      <c r="J415" s="11"/>
    </row>
    <row r="416" spans="9:10" x14ac:dyDescent="0.25">
      <c r="I416" s="11"/>
      <c r="J416" s="11"/>
    </row>
    <row r="417" spans="9:10" x14ac:dyDescent="0.25">
      <c r="I417" s="11"/>
      <c r="J417" s="11"/>
    </row>
    <row r="418" spans="9:10" x14ac:dyDescent="0.25">
      <c r="I418" s="11"/>
      <c r="J418" s="11"/>
    </row>
    <row r="419" spans="9:10" x14ac:dyDescent="0.25">
      <c r="I419" s="11"/>
      <c r="J419" s="11"/>
    </row>
    <row r="420" spans="9:10" x14ac:dyDescent="0.25">
      <c r="I420" s="11"/>
      <c r="J420" s="11"/>
    </row>
    <row r="421" spans="9:10" x14ac:dyDescent="0.25">
      <c r="I421" s="11"/>
      <c r="J421" s="11"/>
    </row>
    <row r="422" spans="9:10" x14ac:dyDescent="0.25">
      <c r="I422" s="11"/>
      <c r="J422" s="11"/>
    </row>
    <row r="423" spans="9:10" x14ac:dyDescent="0.25">
      <c r="I423" s="11"/>
      <c r="J423" s="11"/>
    </row>
    <row r="424" spans="9:10" x14ac:dyDescent="0.25">
      <c r="I424" s="11"/>
      <c r="J424" s="11"/>
    </row>
    <row r="425" spans="9:10" x14ac:dyDescent="0.25">
      <c r="I425" s="11"/>
      <c r="J425" s="11"/>
    </row>
    <row r="426" spans="9:10" x14ac:dyDescent="0.25">
      <c r="I426" s="11"/>
      <c r="J426" s="11"/>
    </row>
    <row r="427" spans="9:10" x14ac:dyDescent="0.25">
      <c r="I427" s="11"/>
      <c r="J427" s="11"/>
    </row>
    <row r="428" spans="9:10" x14ac:dyDescent="0.25">
      <c r="I428" s="11"/>
      <c r="J428" s="11"/>
    </row>
    <row r="429" spans="9:10" x14ac:dyDescent="0.25">
      <c r="I429" s="11"/>
      <c r="J429" s="11"/>
    </row>
    <row r="430" spans="9:10" x14ac:dyDescent="0.25">
      <c r="I430" s="11"/>
      <c r="J430" s="11"/>
    </row>
    <row r="431" spans="9:10" x14ac:dyDescent="0.25">
      <c r="I431" s="11"/>
      <c r="J431" s="11"/>
    </row>
    <row r="432" spans="9:10" x14ac:dyDescent="0.25">
      <c r="I432" s="11"/>
      <c r="J432" s="11"/>
    </row>
    <row r="433" spans="9:10" x14ac:dyDescent="0.25">
      <c r="I433" s="11"/>
      <c r="J433" s="11"/>
    </row>
    <row r="434" spans="9:10" x14ac:dyDescent="0.25">
      <c r="I434" s="11"/>
      <c r="J434" s="11"/>
    </row>
    <row r="435" spans="9:10" x14ac:dyDescent="0.25">
      <c r="I435" s="11"/>
      <c r="J435" s="11"/>
    </row>
    <row r="436" spans="9:10" x14ac:dyDescent="0.25">
      <c r="I436" s="11"/>
      <c r="J436" s="11"/>
    </row>
    <row r="437" spans="9:10" x14ac:dyDescent="0.25">
      <c r="I437" s="11"/>
      <c r="J437" s="11"/>
    </row>
    <row r="438" spans="9:10" x14ac:dyDescent="0.25">
      <c r="I438" s="11"/>
      <c r="J438" s="11"/>
    </row>
    <row r="439" spans="9:10" x14ac:dyDescent="0.25">
      <c r="I439" s="11"/>
      <c r="J439" s="11"/>
    </row>
    <row r="440" spans="9:10" x14ac:dyDescent="0.25">
      <c r="I440" s="11"/>
      <c r="J440" s="11"/>
    </row>
    <row r="441" spans="9:10" x14ac:dyDescent="0.25">
      <c r="I441" s="11"/>
      <c r="J441" s="11"/>
    </row>
    <row r="442" spans="9:10" x14ac:dyDescent="0.25">
      <c r="I442" s="11"/>
      <c r="J442" s="11"/>
    </row>
    <row r="443" spans="9:10" x14ac:dyDescent="0.25">
      <c r="I443" s="11"/>
      <c r="J443" s="11"/>
    </row>
    <row r="444" spans="9:10" x14ac:dyDescent="0.25">
      <c r="I444" s="11"/>
      <c r="J444" s="11"/>
    </row>
    <row r="445" spans="9:10" x14ac:dyDescent="0.25">
      <c r="I445" s="11"/>
      <c r="J445" s="11"/>
    </row>
    <row r="446" spans="9:10" x14ac:dyDescent="0.25">
      <c r="I446" s="11"/>
      <c r="J446" s="11"/>
    </row>
    <row r="447" spans="9:10" x14ac:dyDescent="0.25">
      <c r="I447" s="11"/>
      <c r="J447" s="11"/>
    </row>
    <row r="448" spans="9:10" x14ac:dyDescent="0.25">
      <c r="I448" s="11"/>
      <c r="J448" s="11"/>
    </row>
    <row r="449" spans="9:10" x14ac:dyDescent="0.25">
      <c r="I449" s="11"/>
      <c r="J449" s="11"/>
    </row>
    <row r="450" spans="9:10" x14ac:dyDescent="0.25">
      <c r="I450" s="11"/>
      <c r="J450" s="11"/>
    </row>
    <row r="451" spans="9:10" x14ac:dyDescent="0.25">
      <c r="I451" s="11"/>
      <c r="J451" s="11"/>
    </row>
    <row r="452" spans="9:10" x14ac:dyDescent="0.25">
      <c r="I452" s="11"/>
      <c r="J452" s="11"/>
    </row>
    <row r="453" spans="9:10" x14ac:dyDescent="0.25">
      <c r="I453" s="11"/>
      <c r="J453" s="11"/>
    </row>
    <row r="454" spans="9:10" x14ac:dyDescent="0.25">
      <c r="I454" s="11"/>
      <c r="J454" s="11"/>
    </row>
    <row r="455" spans="9:10" x14ac:dyDescent="0.25">
      <c r="I455" s="11"/>
      <c r="J455" s="11"/>
    </row>
    <row r="456" spans="9:10" x14ac:dyDescent="0.25">
      <c r="I456" s="11"/>
      <c r="J456" s="11"/>
    </row>
    <row r="457" spans="9:10" x14ac:dyDescent="0.25">
      <c r="I457" s="11"/>
      <c r="J457" s="11"/>
    </row>
    <row r="458" spans="9:10" x14ac:dyDescent="0.25">
      <c r="I458" s="11"/>
      <c r="J458" s="11"/>
    </row>
    <row r="459" spans="9:10" x14ac:dyDescent="0.25">
      <c r="I459" s="11"/>
      <c r="J459" s="11"/>
    </row>
    <row r="460" spans="9:10" x14ac:dyDescent="0.25">
      <c r="I460" s="11"/>
      <c r="J460" s="11"/>
    </row>
    <row r="461" spans="9:10" x14ac:dyDescent="0.25">
      <c r="I461" s="11"/>
      <c r="J461" s="11"/>
    </row>
    <row r="462" spans="9:10" x14ac:dyDescent="0.25">
      <c r="I462" s="11"/>
      <c r="J462" s="11"/>
    </row>
    <row r="463" spans="9:10" x14ac:dyDescent="0.25">
      <c r="I463" s="11"/>
      <c r="J463" s="11"/>
    </row>
    <row r="464" spans="9:10" x14ac:dyDescent="0.25">
      <c r="I464" s="11"/>
      <c r="J464" s="11"/>
    </row>
    <row r="465" spans="9:10" x14ac:dyDescent="0.25">
      <c r="I465" s="11"/>
      <c r="J465" s="11"/>
    </row>
    <row r="466" spans="9:10" x14ac:dyDescent="0.25">
      <c r="I466" s="11"/>
      <c r="J466" s="11"/>
    </row>
    <row r="467" spans="9:10" x14ac:dyDescent="0.25">
      <c r="I467" s="11"/>
      <c r="J467" s="11"/>
    </row>
    <row r="468" spans="9:10" x14ac:dyDescent="0.25">
      <c r="I468" s="11"/>
      <c r="J468" s="11"/>
    </row>
    <row r="469" spans="9:10" x14ac:dyDescent="0.25">
      <c r="I469" s="11"/>
      <c r="J469" s="11"/>
    </row>
    <row r="470" spans="9:10" x14ac:dyDescent="0.25">
      <c r="I470" s="11"/>
      <c r="J470" s="11"/>
    </row>
    <row r="471" spans="9:10" x14ac:dyDescent="0.25">
      <c r="I471" s="11"/>
      <c r="J471" s="11"/>
    </row>
    <row r="472" spans="9:10" x14ac:dyDescent="0.25">
      <c r="I472" s="11"/>
      <c r="J472" s="11"/>
    </row>
    <row r="473" spans="9:10" x14ac:dyDescent="0.25">
      <c r="I473" s="11"/>
      <c r="J473" s="11"/>
    </row>
    <row r="474" spans="9:10" x14ac:dyDescent="0.25">
      <c r="I474" s="11"/>
      <c r="J474" s="11"/>
    </row>
    <row r="475" spans="9:10" x14ac:dyDescent="0.25">
      <c r="I475" s="11"/>
      <c r="J475" s="11"/>
    </row>
    <row r="476" spans="9:10" x14ac:dyDescent="0.25">
      <c r="I476" s="11"/>
      <c r="J476" s="11"/>
    </row>
    <row r="477" spans="9:10" x14ac:dyDescent="0.25">
      <c r="I477" s="11"/>
      <c r="J477" s="11"/>
    </row>
    <row r="478" spans="9:10" x14ac:dyDescent="0.25">
      <c r="I478" s="11"/>
      <c r="J478" s="11"/>
    </row>
    <row r="479" spans="9:10" x14ac:dyDescent="0.25">
      <c r="I479" s="11"/>
      <c r="J479" s="11"/>
    </row>
    <row r="480" spans="9:10" x14ac:dyDescent="0.25">
      <c r="I480" s="11"/>
      <c r="J480" s="11"/>
    </row>
    <row r="481" spans="9:10" x14ac:dyDescent="0.25">
      <c r="I481" s="11"/>
      <c r="J481" s="11"/>
    </row>
    <row r="482" spans="9:10" x14ac:dyDescent="0.25">
      <c r="I482" s="11"/>
      <c r="J482" s="11"/>
    </row>
    <row r="483" spans="9:10" x14ac:dyDescent="0.25">
      <c r="I483" s="11"/>
      <c r="J483" s="11"/>
    </row>
    <row r="484" spans="9:10" x14ac:dyDescent="0.25">
      <c r="I484" s="11"/>
      <c r="J484" s="11"/>
    </row>
    <row r="485" spans="9:10" x14ac:dyDescent="0.25">
      <c r="I485" s="11"/>
      <c r="J485" s="11"/>
    </row>
    <row r="486" spans="9:10" x14ac:dyDescent="0.25">
      <c r="I486" s="11"/>
      <c r="J486" s="11"/>
    </row>
    <row r="487" spans="9:10" x14ac:dyDescent="0.25">
      <c r="I487" s="11"/>
      <c r="J487" s="11"/>
    </row>
    <row r="488" spans="9:10" x14ac:dyDescent="0.25">
      <c r="I488" s="11"/>
      <c r="J488" s="11"/>
    </row>
    <row r="489" spans="9:10" x14ac:dyDescent="0.25">
      <c r="I489" s="11"/>
      <c r="J489" s="11"/>
    </row>
    <row r="490" spans="9:10" x14ac:dyDescent="0.25">
      <c r="I490" s="11"/>
      <c r="J490" s="11"/>
    </row>
    <row r="491" spans="9:10" x14ac:dyDescent="0.25">
      <c r="I491" s="11"/>
      <c r="J491" s="11"/>
    </row>
    <row r="492" spans="9:10" x14ac:dyDescent="0.25">
      <c r="I492" s="11"/>
      <c r="J492" s="11"/>
    </row>
    <row r="493" spans="9:10" x14ac:dyDescent="0.25">
      <c r="I493" s="11"/>
      <c r="J493" s="11"/>
    </row>
    <row r="494" spans="9:10" x14ac:dyDescent="0.25">
      <c r="I494" s="11"/>
      <c r="J494" s="11"/>
    </row>
    <row r="495" spans="9:10" x14ac:dyDescent="0.25">
      <c r="I495" s="11"/>
      <c r="J495" s="11"/>
    </row>
    <row r="496" spans="9:10" x14ac:dyDescent="0.25">
      <c r="I496" s="11"/>
      <c r="J496" s="11"/>
    </row>
    <row r="497" spans="9:10" x14ac:dyDescent="0.25">
      <c r="I497" s="11"/>
      <c r="J497" s="11"/>
    </row>
    <row r="498" spans="9:10" x14ac:dyDescent="0.25">
      <c r="I498" s="11"/>
      <c r="J498" s="11"/>
    </row>
    <row r="499" spans="9:10" x14ac:dyDescent="0.25">
      <c r="I499" s="11"/>
      <c r="J499" s="11"/>
    </row>
    <row r="500" spans="9:10" x14ac:dyDescent="0.25">
      <c r="I500" s="11"/>
      <c r="J500" s="11"/>
    </row>
    <row r="501" spans="9:10" x14ac:dyDescent="0.25">
      <c r="I501" s="11"/>
      <c r="J501" s="11"/>
    </row>
    <row r="502" spans="9:10" x14ac:dyDescent="0.25">
      <c r="I502" s="11"/>
      <c r="J502" s="11"/>
    </row>
    <row r="503" spans="9:10" x14ac:dyDescent="0.25">
      <c r="I503" s="11"/>
      <c r="J503" s="11"/>
    </row>
    <row r="504" spans="9:10" x14ac:dyDescent="0.25">
      <c r="I504" s="11"/>
      <c r="J504" s="11"/>
    </row>
    <row r="505" spans="9:10" x14ac:dyDescent="0.25">
      <c r="I505" s="11"/>
      <c r="J505" s="11"/>
    </row>
    <row r="506" spans="9:10" x14ac:dyDescent="0.25">
      <c r="I506" s="11"/>
      <c r="J506" s="11"/>
    </row>
    <row r="507" spans="9:10" x14ac:dyDescent="0.25">
      <c r="I507" s="11"/>
      <c r="J507" s="11"/>
    </row>
    <row r="508" spans="9:10" x14ac:dyDescent="0.25">
      <c r="I508" s="11"/>
      <c r="J508" s="11"/>
    </row>
    <row r="509" spans="9:10" x14ac:dyDescent="0.25">
      <c r="I509" s="11"/>
      <c r="J509" s="11"/>
    </row>
    <row r="510" spans="9:10" x14ac:dyDescent="0.25">
      <c r="I510" s="11"/>
      <c r="J510" s="11"/>
    </row>
    <row r="511" spans="9:10" x14ac:dyDescent="0.25">
      <c r="I511" s="11"/>
      <c r="J511" s="11"/>
    </row>
    <row r="512" spans="9:10" x14ac:dyDescent="0.25">
      <c r="I512" s="11"/>
      <c r="J512" s="11"/>
    </row>
    <row r="513" spans="9:10" x14ac:dyDescent="0.25">
      <c r="I513" s="11"/>
      <c r="J513" s="11"/>
    </row>
    <row r="514" spans="9:10" x14ac:dyDescent="0.25">
      <c r="I514" s="11"/>
      <c r="J514" s="11"/>
    </row>
    <row r="515" spans="9:10" x14ac:dyDescent="0.25">
      <c r="I515" s="11"/>
      <c r="J515" s="11"/>
    </row>
    <row r="516" spans="9:10" x14ac:dyDescent="0.25">
      <c r="I516" s="11"/>
      <c r="J516" s="11"/>
    </row>
    <row r="517" spans="9:10" x14ac:dyDescent="0.25">
      <c r="I517" s="11"/>
      <c r="J517" s="11"/>
    </row>
    <row r="518" spans="9:10" x14ac:dyDescent="0.25">
      <c r="I518" s="11"/>
      <c r="J518" s="11"/>
    </row>
    <row r="519" spans="9:10" x14ac:dyDescent="0.25">
      <c r="I519" s="11"/>
      <c r="J519" s="11"/>
    </row>
    <row r="520" spans="9:10" x14ac:dyDescent="0.25">
      <c r="I520" s="11"/>
      <c r="J520" s="11"/>
    </row>
    <row r="521" spans="9:10" x14ac:dyDescent="0.25">
      <c r="I521" s="11"/>
      <c r="J521" s="11"/>
    </row>
    <row r="522" spans="9:10" x14ac:dyDescent="0.25">
      <c r="I522" s="11"/>
      <c r="J522" s="11"/>
    </row>
    <row r="523" spans="9:10" x14ac:dyDescent="0.25">
      <c r="I523" s="11"/>
      <c r="J523" s="11"/>
    </row>
    <row r="524" spans="9:10" x14ac:dyDescent="0.25">
      <c r="I524" s="11"/>
      <c r="J524" s="11"/>
    </row>
    <row r="525" spans="9:10" x14ac:dyDescent="0.25">
      <c r="I525" s="11"/>
      <c r="J525" s="11"/>
    </row>
    <row r="526" spans="9:10" x14ac:dyDescent="0.25">
      <c r="I526" s="11"/>
      <c r="J526" s="11"/>
    </row>
    <row r="527" spans="9:10" x14ac:dyDescent="0.25">
      <c r="I527" s="11"/>
      <c r="J527" s="11"/>
    </row>
    <row r="528" spans="9:10" x14ac:dyDescent="0.25">
      <c r="I528" s="11"/>
      <c r="J528" s="11"/>
    </row>
    <row r="529" spans="9:10" x14ac:dyDescent="0.25">
      <c r="I529" s="11"/>
      <c r="J529" s="11"/>
    </row>
    <row r="530" spans="9:10" x14ac:dyDescent="0.25">
      <c r="I530" s="11"/>
      <c r="J530" s="11"/>
    </row>
    <row r="531" spans="9:10" x14ac:dyDescent="0.25">
      <c r="I531" s="11"/>
      <c r="J531" s="11"/>
    </row>
    <row r="532" spans="9:10" x14ac:dyDescent="0.25">
      <c r="I532" s="11"/>
      <c r="J532" s="11"/>
    </row>
    <row r="533" spans="9:10" x14ac:dyDescent="0.25">
      <c r="I533" s="11"/>
      <c r="J533" s="11"/>
    </row>
    <row r="534" spans="9:10" x14ac:dyDescent="0.25">
      <c r="I534" s="11"/>
      <c r="J534" s="11"/>
    </row>
    <row r="535" spans="9:10" x14ac:dyDescent="0.25">
      <c r="I535" s="11"/>
      <c r="J535" s="11"/>
    </row>
    <row r="536" spans="9:10" x14ac:dyDescent="0.25">
      <c r="I536" s="11"/>
      <c r="J536" s="11"/>
    </row>
    <row r="537" spans="9:10" x14ac:dyDescent="0.25">
      <c r="I537" s="11"/>
      <c r="J537" s="11"/>
    </row>
    <row r="538" spans="9:10" x14ac:dyDescent="0.25">
      <c r="I538" s="11"/>
      <c r="J538" s="11"/>
    </row>
    <row r="539" spans="9:10" x14ac:dyDescent="0.25">
      <c r="I539" s="11"/>
      <c r="J539" s="11"/>
    </row>
    <row r="540" spans="9:10" x14ac:dyDescent="0.25">
      <c r="I540" s="11"/>
      <c r="J540" s="11"/>
    </row>
    <row r="541" spans="9:10" x14ac:dyDescent="0.25">
      <c r="I541" s="11"/>
      <c r="J541" s="11"/>
    </row>
    <row r="542" spans="9:10" x14ac:dyDescent="0.25">
      <c r="I542" s="11"/>
      <c r="J542" s="11"/>
    </row>
    <row r="543" spans="9:10" x14ac:dyDescent="0.25">
      <c r="I543" s="11"/>
      <c r="J543" s="11"/>
    </row>
    <row r="544" spans="9:10" x14ac:dyDescent="0.25">
      <c r="I544" s="11"/>
      <c r="J544" s="11"/>
    </row>
    <row r="545" spans="9:10" x14ac:dyDescent="0.25">
      <c r="I545" s="11"/>
      <c r="J545" s="11"/>
    </row>
    <row r="546" spans="9:10" x14ac:dyDescent="0.25">
      <c r="I546" s="11"/>
      <c r="J546" s="11"/>
    </row>
    <row r="547" spans="9:10" x14ac:dyDescent="0.25">
      <c r="I547" s="11"/>
      <c r="J547" s="11"/>
    </row>
    <row r="548" spans="9:10" x14ac:dyDescent="0.25">
      <c r="I548" s="11"/>
      <c r="J548" s="11"/>
    </row>
    <row r="549" spans="9:10" x14ac:dyDescent="0.25">
      <c r="I549" s="11"/>
      <c r="J549" s="11"/>
    </row>
    <row r="550" spans="9:10" x14ac:dyDescent="0.25">
      <c r="I550" s="11"/>
      <c r="J550" s="11"/>
    </row>
    <row r="551" spans="9:10" x14ac:dyDescent="0.25">
      <c r="I551" s="11"/>
      <c r="J551" s="11"/>
    </row>
    <row r="552" spans="9:10" x14ac:dyDescent="0.25">
      <c r="I552" s="11"/>
      <c r="J552" s="11"/>
    </row>
    <row r="553" spans="9:10" x14ac:dyDescent="0.25">
      <c r="I553" s="11"/>
      <c r="J553" s="11"/>
    </row>
    <row r="554" spans="9:10" x14ac:dyDescent="0.25">
      <c r="I554" s="11"/>
      <c r="J554" s="11"/>
    </row>
    <row r="555" spans="9:10" x14ac:dyDescent="0.25">
      <c r="I555" s="11"/>
      <c r="J555" s="11"/>
    </row>
    <row r="556" spans="9:10" x14ac:dyDescent="0.25">
      <c r="I556" s="11"/>
      <c r="J556" s="11"/>
    </row>
    <row r="557" spans="9:10" x14ac:dyDescent="0.25">
      <c r="I557" s="11"/>
      <c r="J557" s="11"/>
    </row>
    <row r="558" spans="9:10" x14ac:dyDescent="0.25">
      <c r="I558" s="11"/>
      <c r="J558" s="11"/>
    </row>
    <row r="559" spans="9:10" x14ac:dyDescent="0.25">
      <c r="I559" s="11"/>
      <c r="J559" s="11"/>
    </row>
    <row r="560" spans="9:10" x14ac:dyDescent="0.25">
      <c r="I560" s="11"/>
      <c r="J560" s="11"/>
    </row>
    <row r="561" spans="9:10" x14ac:dyDescent="0.25">
      <c r="I561" s="11"/>
      <c r="J561" s="11"/>
    </row>
    <row r="562" spans="9:10" x14ac:dyDescent="0.25">
      <c r="I562" s="11"/>
      <c r="J562" s="11"/>
    </row>
    <row r="563" spans="9:10" x14ac:dyDescent="0.25">
      <c r="I563" s="11"/>
      <c r="J563" s="11"/>
    </row>
    <row r="564" spans="9:10" x14ac:dyDescent="0.25">
      <c r="I564" s="11"/>
      <c r="J564" s="11"/>
    </row>
    <row r="565" spans="9:10" x14ac:dyDescent="0.25">
      <c r="I565" s="11"/>
      <c r="J565" s="11"/>
    </row>
    <row r="566" spans="9:10" x14ac:dyDescent="0.25">
      <c r="I566" s="11"/>
      <c r="J566" s="11"/>
    </row>
    <row r="567" spans="9:10" x14ac:dyDescent="0.25">
      <c r="I567" s="11"/>
      <c r="J567" s="11"/>
    </row>
    <row r="568" spans="9:10" x14ac:dyDescent="0.25">
      <c r="I568" s="11"/>
      <c r="J568" s="11"/>
    </row>
    <row r="569" spans="9:10" x14ac:dyDescent="0.25">
      <c r="I569" s="11"/>
      <c r="J569" s="11"/>
    </row>
    <row r="570" spans="9:10" x14ac:dyDescent="0.25">
      <c r="I570" s="11"/>
      <c r="J570" s="11"/>
    </row>
    <row r="571" spans="9:10" x14ac:dyDescent="0.25">
      <c r="I571" s="11"/>
      <c r="J571" s="11"/>
    </row>
    <row r="572" spans="9:10" x14ac:dyDescent="0.25">
      <c r="I572" s="11"/>
      <c r="J572" s="11"/>
    </row>
    <row r="573" spans="9:10" x14ac:dyDescent="0.25">
      <c r="I573" s="11"/>
      <c r="J573" s="11"/>
    </row>
    <row r="574" spans="9:10" x14ac:dyDescent="0.25">
      <c r="I574" s="11"/>
      <c r="J574" s="11"/>
    </row>
    <row r="575" spans="9:10" x14ac:dyDescent="0.25">
      <c r="I575" s="11"/>
      <c r="J575" s="11"/>
    </row>
    <row r="576" spans="9:10" x14ac:dyDescent="0.25">
      <c r="I576" s="11"/>
      <c r="J576" s="11"/>
    </row>
    <row r="577" spans="9:10" x14ac:dyDescent="0.25">
      <c r="I577" s="11"/>
      <c r="J577" s="11"/>
    </row>
    <row r="578" spans="9:10" x14ac:dyDescent="0.25">
      <c r="I578" s="11"/>
      <c r="J578" s="11"/>
    </row>
    <row r="579" spans="9:10" x14ac:dyDescent="0.25">
      <c r="I579" s="11"/>
      <c r="J579" s="11"/>
    </row>
    <row r="580" spans="9:10" x14ac:dyDescent="0.25">
      <c r="I580" s="11"/>
      <c r="J580" s="11"/>
    </row>
    <row r="581" spans="9:10" x14ac:dyDescent="0.25">
      <c r="I581" s="11"/>
      <c r="J581" s="11"/>
    </row>
    <row r="582" spans="9:10" x14ac:dyDescent="0.25">
      <c r="I582" s="11"/>
      <c r="J582" s="11"/>
    </row>
    <row r="583" spans="9:10" x14ac:dyDescent="0.25">
      <c r="I583" s="11"/>
      <c r="J583" s="11"/>
    </row>
    <row r="584" spans="9:10" x14ac:dyDescent="0.25">
      <c r="I584" s="11"/>
      <c r="J584" s="11"/>
    </row>
    <row r="585" spans="9:10" x14ac:dyDescent="0.25">
      <c r="I585" s="11"/>
      <c r="J585" s="11"/>
    </row>
    <row r="586" spans="9:10" x14ac:dyDescent="0.25">
      <c r="I586" s="11"/>
      <c r="J586" s="11"/>
    </row>
    <row r="587" spans="9:10" x14ac:dyDescent="0.25">
      <c r="I587" s="11"/>
      <c r="J587" s="11"/>
    </row>
    <row r="588" spans="9:10" x14ac:dyDescent="0.25">
      <c r="I588" s="11"/>
      <c r="J588" s="11"/>
    </row>
    <row r="589" spans="9:10" x14ac:dyDescent="0.25">
      <c r="I589" s="11"/>
      <c r="J589" s="11"/>
    </row>
    <row r="590" spans="9:10" x14ac:dyDescent="0.25">
      <c r="I590" s="11"/>
      <c r="J590" s="11"/>
    </row>
    <row r="591" spans="9:10" x14ac:dyDescent="0.25">
      <c r="I591" s="11"/>
      <c r="J591" s="11"/>
    </row>
    <row r="592" spans="9:10" x14ac:dyDescent="0.25">
      <c r="I592" s="11"/>
      <c r="J592" s="11"/>
    </row>
    <row r="593" spans="9:10" x14ac:dyDescent="0.25">
      <c r="I593" s="11"/>
      <c r="J593" s="11"/>
    </row>
    <row r="594" spans="9:10" x14ac:dyDescent="0.25">
      <c r="I594" s="11"/>
      <c r="J594" s="11"/>
    </row>
    <row r="595" spans="9:10" x14ac:dyDescent="0.25">
      <c r="I595" s="11"/>
      <c r="J595" s="11"/>
    </row>
    <row r="596" spans="9:10" x14ac:dyDescent="0.25">
      <c r="I596" s="11"/>
      <c r="J596" s="11"/>
    </row>
    <row r="597" spans="9:10" x14ac:dyDescent="0.25">
      <c r="I597" s="11"/>
      <c r="J597" s="11"/>
    </row>
    <row r="598" spans="9:10" x14ac:dyDescent="0.25">
      <c r="I598" s="11"/>
      <c r="J598" s="11"/>
    </row>
    <row r="599" spans="9:10" x14ac:dyDescent="0.25">
      <c r="I599" s="11"/>
      <c r="J599" s="11"/>
    </row>
    <row r="600" spans="9:10" x14ac:dyDescent="0.25">
      <c r="I600" s="11"/>
      <c r="J600" s="11"/>
    </row>
    <row r="601" spans="9:10" x14ac:dyDescent="0.25">
      <c r="I601" s="11"/>
      <c r="J601" s="11"/>
    </row>
    <row r="602" spans="9:10" x14ac:dyDescent="0.25">
      <c r="I602" s="11"/>
      <c r="J602" s="11"/>
    </row>
    <row r="603" spans="9:10" x14ac:dyDescent="0.25">
      <c r="I603" s="11"/>
      <c r="J603" s="11"/>
    </row>
    <row r="604" spans="9:10" x14ac:dyDescent="0.25">
      <c r="I604" s="11"/>
      <c r="J604" s="11"/>
    </row>
    <row r="605" spans="9:10" x14ac:dyDescent="0.25">
      <c r="I605" s="11"/>
      <c r="J605" s="11"/>
    </row>
    <row r="606" spans="9:10" x14ac:dyDescent="0.25">
      <c r="I606" s="11"/>
      <c r="J606" s="11"/>
    </row>
    <row r="607" spans="9:10" x14ac:dyDescent="0.25">
      <c r="I607" s="11"/>
      <c r="J607" s="11"/>
    </row>
    <row r="608" spans="9:10" x14ac:dyDescent="0.25">
      <c r="I608" s="11"/>
      <c r="J608" s="11"/>
    </row>
    <row r="609" spans="9:10" x14ac:dyDescent="0.25">
      <c r="I609" s="11"/>
      <c r="J609" s="11"/>
    </row>
    <row r="610" spans="9:10" x14ac:dyDescent="0.25">
      <c r="I610" s="11"/>
      <c r="J610" s="11"/>
    </row>
    <row r="611" spans="9:10" x14ac:dyDescent="0.25">
      <c r="I611" s="11"/>
      <c r="J611" s="11"/>
    </row>
    <row r="612" spans="9:10" x14ac:dyDescent="0.25">
      <c r="I612" s="11"/>
      <c r="J612" s="11"/>
    </row>
    <row r="613" spans="9:10" x14ac:dyDescent="0.25">
      <c r="I613" s="11"/>
      <c r="J613" s="11"/>
    </row>
    <row r="614" spans="9:10" x14ac:dyDescent="0.25">
      <c r="I614" s="11"/>
      <c r="J614" s="11"/>
    </row>
    <row r="615" spans="9:10" x14ac:dyDescent="0.25">
      <c r="I615" s="11"/>
      <c r="J615" s="11"/>
    </row>
    <row r="616" spans="9:10" x14ac:dyDescent="0.25">
      <c r="I616" s="11"/>
      <c r="J616" s="11"/>
    </row>
    <row r="617" spans="9:10" x14ac:dyDescent="0.25">
      <c r="I617" s="11"/>
      <c r="J617" s="11"/>
    </row>
    <row r="618" spans="9:10" x14ac:dyDescent="0.25">
      <c r="I618" s="11"/>
      <c r="J618" s="11"/>
    </row>
    <row r="619" spans="9:10" x14ac:dyDescent="0.25">
      <c r="I619" s="11"/>
      <c r="J619" s="11"/>
    </row>
    <row r="620" spans="9:10" x14ac:dyDescent="0.25">
      <c r="I620" s="11"/>
      <c r="J620" s="11"/>
    </row>
    <row r="621" spans="9:10" x14ac:dyDescent="0.25">
      <c r="I621" s="11"/>
      <c r="J621" s="11"/>
    </row>
    <row r="622" spans="9:10" x14ac:dyDescent="0.25">
      <c r="I622" s="11"/>
      <c r="J622" s="11"/>
    </row>
    <row r="623" spans="9:10" x14ac:dyDescent="0.25">
      <c r="I623" s="11"/>
      <c r="J623" s="11"/>
    </row>
    <row r="624" spans="9:10" x14ac:dyDescent="0.25">
      <c r="I624" s="11"/>
      <c r="J624" s="11"/>
    </row>
    <row r="625" spans="9:10" x14ac:dyDescent="0.25">
      <c r="I625" s="11"/>
      <c r="J625" s="11"/>
    </row>
    <row r="626" spans="9:10" x14ac:dyDescent="0.25">
      <c r="I626" s="11"/>
      <c r="J626" s="11"/>
    </row>
    <row r="627" spans="9:10" x14ac:dyDescent="0.25">
      <c r="I627" s="11"/>
      <c r="J627" s="11"/>
    </row>
    <row r="628" spans="9:10" x14ac:dyDescent="0.25">
      <c r="I628" s="11"/>
      <c r="J628" s="11"/>
    </row>
    <row r="629" spans="9:10" x14ac:dyDescent="0.25">
      <c r="I629" s="11"/>
      <c r="J629" s="11"/>
    </row>
    <row r="630" spans="9:10" x14ac:dyDescent="0.25">
      <c r="I630" s="11"/>
      <c r="J630" s="11"/>
    </row>
    <row r="631" spans="9:10" x14ac:dyDescent="0.25">
      <c r="I631" s="11"/>
      <c r="J631" s="11"/>
    </row>
    <row r="632" spans="9:10" x14ac:dyDescent="0.25">
      <c r="I632" s="11"/>
      <c r="J632" s="11"/>
    </row>
    <row r="633" spans="9:10" x14ac:dyDescent="0.25">
      <c r="I633" s="11"/>
      <c r="J633" s="11"/>
    </row>
    <row r="634" spans="9:10" x14ac:dyDescent="0.25">
      <c r="I634" s="11"/>
      <c r="J634" s="11"/>
    </row>
    <row r="635" spans="9:10" x14ac:dyDescent="0.25">
      <c r="I635" s="11"/>
      <c r="J635" s="11"/>
    </row>
    <row r="636" spans="9:10" x14ac:dyDescent="0.25">
      <c r="I636" s="11"/>
      <c r="J636" s="11"/>
    </row>
    <row r="637" spans="9:10" x14ac:dyDescent="0.25">
      <c r="I637" s="11"/>
      <c r="J637" s="11"/>
    </row>
    <row r="638" spans="9:10" x14ac:dyDescent="0.25">
      <c r="I638" s="11"/>
      <c r="J638" s="11"/>
    </row>
    <row r="639" spans="9:10" x14ac:dyDescent="0.25">
      <c r="I639" s="11"/>
      <c r="J639" s="11"/>
    </row>
    <row r="640" spans="9:10" x14ac:dyDescent="0.25">
      <c r="I640" s="11"/>
      <c r="J640" s="11"/>
    </row>
    <row r="641" spans="9:10" x14ac:dyDescent="0.25">
      <c r="I641" s="11"/>
      <c r="J641" s="11"/>
    </row>
    <row r="642" spans="9:10" x14ac:dyDescent="0.25">
      <c r="I642" s="11"/>
      <c r="J642" s="11"/>
    </row>
    <row r="643" spans="9:10" x14ac:dyDescent="0.25">
      <c r="I643" s="11"/>
      <c r="J643" s="11"/>
    </row>
    <row r="644" spans="9:10" x14ac:dyDescent="0.25">
      <c r="I644" s="11"/>
      <c r="J644" s="11"/>
    </row>
    <row r="645" spans="9:10" x14ac:dyDescent="0.25">
      <c r="I645" s="11"/>
      <c r="J645" s="11"/>
    </row>
    <row r="646" spans="9:10" x14ac:dyDescent="0.25">
      <c r="I646" s="11"/>
      <c r="J646" s="11"/>
    </row>
    <row r="647" spans="9:10" x14ac:dyDescent="0.25">
      <c r="I647" s="11"/>
      <c r="J647" s="11"/>
    </row>
    <row r="648" spans="9:10" x14ac:dyDescent="0.25">
      <c r="I648" s="11"/>
      <c r="J648" s="11"/>
    </row>
    <row r="649" spans="9:10" x14ac:dyDescent="0.25">
      <c r="I649" s="11"/>
      <c r="J649" s="11"/>
    </row>
    <row r="650" spans="9:10" x14ac:dyDescent="0.25">
      <c r="I650" s="11"/>
      <c r="J650" s="11"/>
    </row>
    <row r="651" spans="9:10" x14ac:dyDescent="0.25">
      <c r="I651" s="11"/>
      <c r="J651" s="11"/>
    </row>
    <row r="652" spans="9:10" x14ac:dyDescent="0.25">
      <c r="I652" s="11"/>
      <c r="J652" s="11"/>
    </row>
    <row r="653" spans="9:10" x14ac:dyDescent="0.25">
      <c r="I653" s="11"/>
      <c r="J653" s="11"/>
    </row>
    <row r="654" spans="9:10" x14ac:dyDescent="0.25">
      <c r="I654" s="11"/>
      <c r="J654" s="11"/>
    </row>
    <row r="655" spans="9:10" x14ac:dyDescent="0.25">
      <c r="I655" s="11"/>
      <c r="J655" s="11"/>
    </row>
    <row r="656" spans="9:10" x14ac:dyDescent="0.25">
      <c r="I656" s="11"/>
      <c r="J656" s="11"/>
    </row>
    <row r="657" spans="9:10" x14ac:dyDescent="0.25">
      <c r="I657" s="11"/>
      <c r="J657" s="11"/>
    </row>
    <row r="658" spans="9:10" x14ac:dyDescent="0.25">
      <c r="I658" s="11"/>
      <c r="J658" s="11"/>
    </row>
    <row r="659" spans="9:10" x14ac:dyDescent="0.25">
      <c r="I659" s="11"/>
      <c r="J659" s="11"/>
    </row>
    <row r="660" spans="9:10" x14ac:dyDescent="0.25">
      <c r="I660" s="11"/>
      <c r="J660" s="11"/>
    </row>
    <row r="661" spans="9:10" x14ac:dyDescent="0.25">
      <c r="I661" s="11"/>
      <c r="J661" s="11"/>
    </row>
    <row r="662" spans="9:10" x14ac:dyDescent="0.25">
      <c r="I662" s="11"/>
      <c r="J662" s="11"/>
    </row>
    <row r="663" spans="9:10" x14ac:dyDescent="0.25">
      <c r="I663" s="11"/>
      <c r="J663" s="11"/>
    </row>
    <row r="664" spans="9:10" x14ac:dyDescent="0.25">
      <c r="I664" s="11"/>
      <c r="J664" s="11"/>
    </row>
    <row r="665" spans="9:10" x14ac:dyDescent="0.25">
      <c r="I665" s="11"/>
      <c r="J665" s="11"/>
    </row>
    <row r="666" spans="9:10" x14ac:dyDescent="0.25">
      <c r="I666" s="11"/>
      <c r="J666" s="11"/>
    </row>
    <row r="667" spans="9:10" x14ac:dyDescent="0.25">
      <c r="I667" s="11"/>
      <c r="J667" s="11"/>
    </row>
    <row r="668" spans="9:10" x14ac:dyDescent="0.25">
      <c r="I668" s="11"/>
      <c r="J668" s="11"/>
    </row>
    <row r="669" spans="9:10" x14ac:dyDescent="0.25">
      <c r="I669" s="11"/>
      <c r="J669" s="11"/>
    </row>
    <row r="670" spans="9:10" x14ac:dyDescent="0.25">
      <c r="I670" s="11"/>
      <c r="J670" s="11"/>
    </row>
    <row r="671" spans="9:10" x14ac:dyDescent="0.25">
      <c r="I671" s="11"/>
      <c r="J671" s="11"/>
    </row>
    <row r="672" spans="9:10" x14ac:dyDescent="0.25">
      <c r="I672" s="11"/>
      <c r="J672" s="11"/>
    </row>
    <row r="673" spans="9:10" x14ac:dyDescent="0.25">
      <c r="I673" s="11"/>
      <c r="J673" s="11"/>
    </row>
    <row r="674" spans="9:10" x14ac:dyDescent="0.25">
      <c r="I674" s="11"/>
      <c r="J674" s="11"/>
    </row>
    <row r="675" spans="9:10" x14ac:dyDescent="0.25">
      <c r="I675" s="11"/>
      <c r="J675" s="11"/>
    </row>
    <row r="676" spans="9:10" x14ac:dyDescent="0.25">
      <c r="I676" s="11"/>
      <c r="J676" s="11"/>
    </row>
    <row r="677" spans="9:10" x14ac:dyDescent="0.25">
      <c r="I677" s="11"/>
      <c r="J677" s="11"/>
    </row>
    <row r="678" spans="9:10" x14ac:dyDescent="0.25">
      <c r="I678" s="11"/>
      <c r="J678" s="11"/>
    </row>
    <row r="679" spans="9:10" x14ac:dyDescent="0.25">
      <c r="I679" s="11"/>
      <c r="J679" s="11"/>
    </row>
    <row r="680" spans="9:10" x14ac:dyDescent="0.25">
      <c r="I680" s="11"/>
      <c r="J680" s="11"/>
    </row>
    <row r="681" spans="9:10" x14ac:dyDescent="0.25">
      <c r="I681" s="11"/>
      <c r="J681" s="11"/>
    </row>
    <row r="682" spans="9:10" x14ac:dyDescent="0.25">
      <c r="I682" s="11"/>
      <c r="J682" s="11"/>
    </row>
    <row r="683" spans="9:10" x14ac:dyDescent="0.25">
      <c r="I683" s="11"/>
      <c r="J683" s="11"/>
    </row>
    <row r="684" spans="9:10" x14ac:dyDescent="0.25">
      <c r="I684" s="11"/>
      <c r="J684" s="11"/>
    </row>
    <row r="685" spans="9:10" x14ac:dyDescent="0.25">
      <c r="I685" s="11"/>
      <c r="J685" s="11"/>
    </row>
    <row r="686" spans="9:10" x14ac:dyDescent="0.25">
      <c r="I686" s="11"/>
      <c r="J686" s="11"/>
    </row>
    <row r="687" spans="9:10" x14ac:dyDescent="0.25">
      <c r="I687" s="11"/>
      <c r="J687" s="11"/>
    </row>
    <row r="688" spans="9:10" x14ac:dyDescent="0.25">
      <c r="I688" s="11"/>
      <c r="J688" s="11"/>
    </row>
    <row r="689" spans="9:10" x14ac:dyDescent="0.25">
      <c r="I689" s="11"/>
      <c r="J689" s="11"/>
    </row>
    <row r="690" spans="9:10" x14ac:dyDescent="0.25">
      <c r="I690" s="11"/>
      <c r="J690" s="11"/>
    </row>
    <row r="691" spans="9:10" x14ac:dyDescent="0.25">
      <c r="I691" s="11"/>
      <c r="J691" s="11"/>
    </row>
    <row r="692" spans="9:10" x14ac:dyDescent="0.25">
      <c r="I692" s="11"/>
      <c r="J692" s="11"/>
    </row>
    <row r="693" spans="9:10" x14ac:dyDescent="0.25">
      <c r="I693" s="11"/>
      <c r="J693" s="11"/>
    </row>
    <row r="694" spans="9:10" x14ac:dyDescent="0.25">
      <c r="I694" s="11"/>
      <c r="J694" s="11"/>
    </row>
    <row r="695" spans="9:10" x14ac:dyDescent="0.25">
      <c r="I695" s="11"/>
      <c r="J695" s="11"/>
    </row>
    <row r="696" spans="9:10" x14ac:dyDescent="0.25">
      <c r="I696" s="11"/>
      <c r="J696" s="11"/>
    </row>
    <row r="697" spans="9:10" x14ac:dyDescent="0.25">
      <c r="I697" s="11"/>
      <c r="J697" s="11"/>
    </row>
    <row r="698" spans="9:10" x14ac:dyDescent="0.25">
      <c r="I698" s="11"/>
      <c r="J698" s="11"/>
    </row>
    <row r="699" spans="9:10" x14ac:dyDescent="0.25">
      <c r="I699" s="11"/>
      <c r="J699" s="11"/>
    </row>
    <row r="700" spans="9:10" x14ac:dyDescent="0.25">
      <c r="I700" s="11"/>
      <c r="J700" s="11"/>
    </row>
    <row r="701" spans="9:10" x14ac:dyDescent="0.25">
      <c r="I701" s="11"/>
      <c r="J701" s="11"/>
    </row>
    <row r="702" spans="9:10" x14ac:dyDescent="0.25">
      <c r="I702" s="11"/>
      <c r="J702" s="11"/>
    </row>
    <row r="703" spans="9:10" x14ac:dyDescent="0.25">
      <c r="I703" s="11"/>
      <c r="J703" s="11"/>
    </row>
    <row r="704" spans="9:10" x14ac:dyDescent="0.25">
      <c r="I704" s="11"/>
      <c r="J704" s="11"/>
    </row>
    <row r="705" spans="9:10" x14ac:dyDescent="0.25">
      <c r="I705" s="11"/>
      <c r="J705" s="11"/>
    </row>
    <row r="706" spans="9:10" x14ac:dyDescent="0.25">
      <c r="I706" s="11"/>
      <c r="J706" s="11"/>
    </row>
    <row r="707" spans="9:10" x14ac:dyDescent="0.25">
      <c r="I707" s="11"/>
      <c r="J707" s="11"/>
    </row>
    <row r="708" spans="9:10" x14ac:dyDescent="0.25">
      <c r="I708" s="11"/>
      <c r="J708" s="11"/>
    </row>
    <row r="709" spans="9:10" x14ac:dyDescent="0.25">
      <c r="I709" s="11"/>
      <c r="J709" s="11"/>
    </row>
    <row r="710" spans="9:10" x14ac:dyDescent="0.25">
      <c r="I710" s="11"/>
      <c r="J710" s="11"/>
    </row>
    <row r="711" spans="9:10" x14ac:dyDescent="0.25">
      <c r="I711" s="11"/>
      <c r="J711" s="11"/>
    </row>
    <row r="712" spans="9:10" x14ac:dyDescent="0.25">
      <c r="I712" s="11"/>
      <c r="J712" s="11"/>
    </row>
    <row r="713" spans="9:10" x14ac:dyDescent="0.25">
      <c r="I713" s="11"/>
      <c r="J713" s="11"/>
    </row>
    <row r="714" spans="9:10" x14ac:dyDescent="0.25">
      <c r="I714" s="11"/>
      <c r="J714" s="11"/>
    </row>
    <row r="715" spans="9:10" x14ac:dyDescent="0.25">
      <c r="I715" s="11"/>
      <c r="J715" s="11"/>
    </row>
    <row r="716" spans="9:10" x14ac:dyDescent="0.25">
      <c r="I716" s="11"/>
      <c r="J716" s="11"/>
    </row>
    <row r="717" spans="9:10" x14ac:dyDescent="0.25">
      <c r="I717" s="11"/>
      <c r="J717" s="11"/>
    </row>
    <row r="718" spans="9:10" x14ac:dyDescent="0.25">
      <c r="I718" s="11"/>
      <c r="J718" s="11"/>
    </row>
    <row r="719" spans="9:10" x14ac:dyDescent="0.25">
      <c r="I719" s="11"/>
      <c r="J719" s="11"/>
    </row>
    <row r="720" spans="9:10" x14ac:dyDescent="0.25">
      <c r="I720" s="11"/>
      <c r="J720" s="11"/>
    </row>
    <row r="721" spans="9:10" x14ac:dyDescent="0.25">
      <c r="I721" s="11"/>
      <c r="J721" s="11"/>
    </row>
    <row r="722" spans="9:10" x14ac:dyDescent="0.25">
      <c r="I722" s="11"/>
      <c r="J722" s="11"/>
    </row>
    <row r="723" spans="9:10" x14ac:dyDescent="0.25">
      <c r="I723" s="11"/>
      <c r="J723" s="11"/>
    </row>
    <row r="724" spans="9:10" x14ac:dyDescent="0.25">
      <c r="I724" s="11"/>
      <c r="J724" s="11"/>
    </row>
    <row r="725" spans="9:10" x14ac:dyDescent="0.25">
      <c r="I725" s="11"/>
      <c r="J725" s="11"/>
    </row>
    <row r="726" spans="9:10" x14ac:dyDescent="0.25">
      <c r="I726" s="11"/>
      <c r="J726" s="11"/>
    </row>
    <row r="727" spans="9:10" x14ac:dyDescent="0.25">
      <c r="I727" s="11"/>
      <c r="J727" s="11"/>
    </row>
    <row r="728" spans="9:10" x14ac:dyDescent="0.25">
      <c r="I728" s="11"/>
      <c r="J728" s="11"/>
    </row>
    <row r="729" spans="9:10" x14ac:dyDescent="0.25">
      <c r="I729" s="11"/>
      <c r="J729" s="11"/>
    </row>
    <row r="730" spans="9:10" x14ac:dyDescent="0.25">
      <c r="I730" s="11"/>
      <c r="J730" s="11"/>
    </row>
    <row r="731" spans="9:10" x14ac:dyDescent="0.25">
      <c r="I731" s="11"/>
      <c r="J731" s="11"/>
    </row>
    <row r="732" spans="9:10" x14ac:dyDescent="0.25">
      <c r="I732" s="11"/>
      <c r="J732" s="11"/>
    </row>
    <row r="733" spans="9:10" x14ac:dyDescent="0.25">
      <c r="I733" s="11"/>
      <c r="J733" s="11"/>
    </row>
    <row r="734" spans="9:10" x14ac:dyDescent="0.25">
      <c r="I734" s="11"/>
      <c r="J734" s="11"/>
    </row>
    <row r="735" spans="9:10" x14ac:dyDescent="0.25">
      <c r="I735" s="11"/>
      <c r="J735" s="11"/>
    </row>
    <row r="736" spans="9:10" x14ac:dyDescent="0.25">
      <c r="I736" s="11"/>
      <c r="J736" s="11"/>
    </row>
    <row r="737" spans="9:10" x14ac:dyDescent="0.25">
      <c r="I737" s="11"/>
      <c r="J737" s="11"/>
    </row>
    <row r="738" spans="9:10" x14ac:dyDescent="0.25">
      <c r="I738" s="11"/>
      <c r="J738" s="11"/>
    </row>
    <row r="739" spans="9:10" x14ac:dyDescent="0.25">
      <c r="I739" s="11"/>
      <c r="J739" s="11"/>
    </row>
    <row r="740" spans="9:10" x14ac:dyDescent="0.25">
      <c r="I740" s="11"/>
      <c r="J740" s="11"/>
    </row>
    <row r="741" spans="9:10" x14ac:dyDescent="0.25">
      <c r="I741" s="11"/>
      <c r="J741" s="11"/>
    </row>
    <row r="742" spans="9:10" x14ac:dyDescent="0.25">
      <c r="I742" s="11"/>
      <c r="J742" s="11"/>
    </row>
    <row r="743" spans="9:10" x14ac:dyDescent="0.25">
      <c r="I743" s="11"/>
      <c r="J743" s="11"/>
    </row>
    <row r="744" spans="9:10" x14ac:dyDescent="0.25">
      <c r="I744" s="11"/>
      <c r="J744" s="11"/>
    </row>
    <row r="745" spans="9:10" x14ac:dyDescent="0.25">
      <c r="I745" s="11"/>
      <c r="J745" s="11"/>
    </row>
    <row r="746" spans="9:10" x14ac:dyDescent="0.25">
      <c r="I746" s="11"/>
      <c r="J746" s="11"/>
    </row>
    <row r="747" spans="9:10" x14ac:dyDescent="0.25">
      <c r="I747" s="11"/>
      <c r="J747" s="11"/>
    </row>
    <row r="748" spans="9:10" x14ac:dyDescent="0.25">
      <c r="I748" s="11"/>
      <c r="J748" s="11"/>
    </row>
    <row r="749" spans="9:10" x14ac:dyDescent="0.25">
      <c r="I749" s="11"/>
      <c r="J749" s="11"/>
    </row>
    <row r="750" spans="9:10" x14ac:dyDescent="0.25">
      <c r="I750" s="11"/>
      <c r="J750" s="11"/>
    </row>
    <row r="751" spans="9:10" x14ac:dyDescent="0.25">
      <c r="I751" s="11"/>
      <c r="J751" s="11"/>
    </row>
    <row r="752" spans="9:10" x14ac:dyDescent="0.25">
      <c r="I752" s="11"/>
      <c r="J752" s="11"/>
    </row>
    <row r="753" spans="9:10" x14ac:dyDescent="0.25">
      <c r="I753" s="11"/>
      <c r="J753" s="11"/>
    </row>
    <row r="754" spans="9:10" x14ac:dyDescent="0.25">
      <c r="I754" s="11"/>
      <c r="J754" s="11"/>
    </row>
    <row r="755" spans="9:10" x14ac:dyDescent="0.25">
      <c r="I755" s="11"/>
      <c r="J755" s="11"/>
    </row>
    <row r="756" spans="9:10" x14ac:dyDescent="0.25">
      <c r="I756" s="11"/>
      <c r="J756" s="11"/>
    </row>
    <row r="757" spans="9:10" x14ac:dyDescent="0.25">
      <c r="I757" s="11"/>
      <c r="J757" s="11"/>
    </row>
    <row r="758" spans="9:10" x14ac:dyDescent="0.25">
      <c r="I758" s="11"/>
      <c r="J758" s="11"/>
    </row>
    <row r="759" spans="9:10" x14ac:dyDescent="0.25">
      <c r="I759" s="11"/>
      <c r="J759" s="11"/>
    </row>
    <row r="760" spans="9:10" x14ac:dyDescent="0.25">
      <c r="I760" s="11"/>
      <c r="J760" s="11"/>
    </row>
    <row r="761" spans="9:10" x14ac:dyDescent="0.25">
      <c r="I761" s="11"/>
      <c r="J761" s="11"/>
    </row>
    <row r="762" spans="9:10" x14ac:dyDescent="0.25">
      <c r="I762" s="11"/>
      <c r="J762" s="11"/>
    </row>
    <row r="763" spans="9:10" x14ac:dyDescent="0.25">
      <c r="I763" s="11"/>
      <c r="J763" s="11"/>
    </row>
    <row r="764" spans="9:10" x14ac:dyDescent="0.25">
      <c r="I764" s="11"/>
      <c r="J764" s="11"/>
    </row>
    <row r="765" spans="9:10" x14ac:dyDescent="0.25">
      <c r="I765" s="11"/>
      <c r="J765" s="11"/>
    </row>
    <row r="766" spans="9:10" x14ac:dyDescent="0.25">
      <c r="I766" s="11"/>
      <c r="J766" s="11"/>
    </row>
    <row r="767" spans="9:10" x14ac:dyDescent="0.25">
      <c r="I767" s="11"/>
      <c r="J767" s="11"/>
    </row>
    <row r="768" spans="9:10" x14ac:dyDescent="0.25">
      <c r="I768" s="11"/>
      <c r="J768" s="11"/>
    </row>
    <row r="769" spans="9:10" x14ac:dyDescent="0.25">
      <c r="I769" s="11"/>
      <c r="J769" s="11"/>
    </row>
    <row r="770" spans="9:10" x14ac:dyDescent="0.25">
      <c r="I770" s="11"/>
      <c r="J770" s="11"/>
    </row>
    <row r="771" spans="9:10" x14ac:dyDescent="0.25">
      <c r="I771" s="11"/>
      <c r="J771" s="11"/>
    </row>
    <row r="772" spans="9:10" x14ac:dyDescent="0.25">
      <c r="I772" s="11"/>
      <c r="J772" s="11"/>
    </row>
    <row r="773" spans="9:10" x14ac:dyDescent="0.25">
      <c r="I773" s="11"/>
      <c r="J773" s="11"/>
    </row>
    <row r="774" spans="9:10" x14ac:dyDescent="0.25">
      <c r="I774" s="11"/>
      <c r="J774" s="11"/>
    </row>
    <row r="775" spans="9:10" x14ac:dyDescent="0.25">
      <c r="I775" s="11"/>
      <c r="J775" s="11"/>
    </row>
    <row r="776" spans="9:10" x14ac:dyDescent="0.25">
      <c r="I776" s="11"/>
      <c r="J776" s="11"/>
    </row>
    <row r="777" spans="9:10" x14ac:dyDescent="0.25">
      <c r="I777" s="11"/>
      <c r="J777" s="11"/>
    </row>
    <row r="778" spans="9:10" x14ac:dyDescent="0.25">
      <c r="I778" s="11"/>
      <c r="J778" s="11"/>
    </row>
    <row r="779" spans="9:10" x14ac:dyDescent="0.25">
      <c r="I779" s="11"/>
      <c r="J779" s="11"/>
    </row>
    <row r="780" spans="9:10" x14ac:dyDescent="0.25">
      <c r="I780" s="11"/>
      <c r="J780" s="11"/>
    </row>
    <row r="781" spans="9:10" x14ac:dyDescent="0.25">
      <c r="I781" s="11"/>
      <c r="J781" s="11"/>
    </row>
    <row r="782" spans="9:10" x14ac:dyDescent="0.25">
      <c r="I782" s="11"/>
      <c r="J782" s="11"/>
    </row>
    <row r="783" spans="9:10" x14ac:dyDescent="0.25">
      <c r="I783" s="11"/>
      <c r="J783" s="11"/>
    </row>
    <row r="784" spans="9:10" x14ac:dyDescent="0.25">
      <c r="I784" s="11"/>
      <c r="J784" s="11"/>
    </row>
    <row r="785" spans="9:10" x14ac:dyDescent="0.25">
      <c r="I785" s="11"/>
      <c r="J785" s="11"/>
    </row>
    <row r="786" spans="9:10" x14ac:dyDescent="0.25">
      <c r="I786" s="11"/>
      <c r="J786" s="11"/>
    </row>
    <row r="787" spans="9:10" x14ac:dyDescent="0.25">
      <c r="I787" s="11"/>
      <c r="J787" s="11"/>
    </row>
    <row r="788" spans="9:10" x14ac:dyDescent="0.25">
      <c r="I788" s="11"/>
      <c r="J788" s="11"/>
    </row>
    <row r="789" spans="9:10" x14ac:dyDescent="0.25">
      <c r="I789" s="11"/>
      <c r="J789" s="11"/>
    </row>
    <row r="790" spans="9:10" x14ac:dyDescent="0.25">
      <c r="I790" s="11"/>
      <c r="J790" s="11"/>
    </row>
    <row r="791" spans="9:10" x14ac:dyDescent="0.25">
      <c r="I791" s="11"/>
      <c r="J791" s="11"/>
    </row>
    <row r="792" spans="9:10" x14ac:dyDescent="0.25">
      <c r="I792" s="11"/>
      <c r="J792" s="11"/>
    </row>
    <row r="793" spans="9:10" x14ac:dyDescent="0.25">
      <c r="I793" s="11"/>
      <c r="J793" s="11"/>
    </row>
    <row r="794" spans="9:10" x14ac:dyDescent="0.25">
      <c r="I794" s="11"/>
      <c r="J794" s="11"/>
    </row>
    <row r="795" spans="9:10" x14ac:dyDescent="0.25">
      <c r="I795" s="11"/>
      <c r="J795" s="11"/>
    </row>
    <row r="796" spans="9:10" x14ac:dyDescent="0.25">
      <c r="I796" s="11"/>
      <c r="J796" s="11"/>
    </row>
    <row r="797" spans="9:10" x14ac:dyDescent="0.25">
      <c r="I797" s="11"/>
      <c r="J797" s="11"/>
    </row>
    <row r="798" spans="9:10" x14ac:dyDescent="0.25">
      <c r="I798" s="11"/>
      <c r="J798" s="11"/>
    </row>
    <row r="799" spans="9:10" x14ac:dyDescent="0.25">
      <c r="I799" s="11"/>
      <c r="J799" s="11"/>
    </row>
    <row r="800" spans="9:10" x14ac:dyDescent="0.25">
      <c r="I800" s="11"/>
      <c r="J800" s="11"/>
    </row>
    <row r="801" spans="9:10" x14ac:dyDescent="0.25">
      <c r="I801" s="11"/>
      <c r="J801" s="11"/>
    </row>
    <row r="802" spans="9:10" x14ac:dyDescent="0.25">
      <c r="I802" s="11"/>
      <c r="J802" s="11"/>
    </row>
    <row r="803" spans="9:10" x14ac:dyDescent="0.25">
      <c r="I803" s="11"/>
      <c r="J803" s="11"/>
    </row>
    <row r="804" spans="9:10" x14ac:dyDescent="0.25">
      <c r="I804" s="11"/>
      <c r="J804" s="11"/>
    </row>
    <row r="805" spans="9:10" x14ac:dyDescent="0.25">
      <c r="I805" s="11"/>
      <c r="J805" s="11"/>
    </row>
    <row r="806" spans="9:10" x14ac:dyDescent="0.25">
      <c r="I806" s="11"/>
      <c r="J806" s="11"/>
    </row>
    <row r="807" spans="9:10" x14ac:dyDescent="0.25">
      <c r="I807" s="11"/>
      <c r="J807" s="11"/>
    </row>
    <row r="808" spans="9:10" x14ac:dyDescent="0.25">
      <c r="I808" s="11"/>
      <c r="J808" s="11"/>
    </row>
    <row r="809" spans="9:10" x14ac:dyDescent="0.25">
      <c r="I809" s="11"/>
      <c r="J809" s="11"/>
    </row>
    <row r="810" spans="9:10" x14ac:dyDescent="0.25">
      <c r="I810" s="11"/>
      <c r="J810" s="11"/>
    </row>
    <row r="811" spans="9:10" x14ac:dyDescent="0.25">
      <c r="I811" s="11"/>
      <c r="J811" s="11"/>
    </row>
    <row r="812" spans="9:10" x14ac:dyDescent="0.25">
      <c r="I812" s="11"/>
      <c r="J812" s="11"/>
    </row>
    <row r="813" spans="9:10" x14ac:dyDescent="0.25">
      <c r="I813" s="11"/>
      <c r="J813" s="11"/>
    </row>
    <row r="814" spans="9:10" x14ac:dyDescent="0.25">
      <c r="I814" s="11"/>
      <c r="J814" s="11"/>
    </row>
    <row r="815" spans="9:10" x14ac:dyDescent="0.25">
      <c r="I815" s="11"/>
      <c r="J815" s="11"/>
    </row>
    <row r="816" spans="9:10" x14ac:dyDescent="0.25">
      <c r="I816" s="11"/>
      <c r="J816" s="11"/>
    </row>
    <row r="817" spans="9:10" x14ac:dyDescent="0.25">
      <c r="I817" s="11"/>
      <c r="J817" s="11"/>
    </row>
    <row r="818" spans="9:10" x14ac:dyDescent="0.25">
      <c r="I818" s="11"/>
      <c r="J818" s="11"/>
    </row>
    <row r="819" spans="9:10" x14ac:dyDescent="0.25">
      <c r="I819" s="11"/>
      <c r="J819" s="11"/>
    </row>
    <row r="820" spans="9:10" x14ac:dyDescent="0.25">
      <c r="I820" s="11"/>
      <c r="J820" s="11"/>
    </row>
    <row r="821" spans="9:10" x14ac:dyDescent="0.25">
      <c r="I821" s="11"/>
      <c r="J821" s="11"/>
    </row>
    <row r="822" spans="9:10" x14ac:dyDescent="0.25">
      <c r="I822" s="11"/>
      <c r="J822" s="11"/>
    </row>
    <row r="823" spans="9:10" x14ac:dyDescent="0.25">
      <c r="I823" s="11"/>
      <c r="J823" s="11"/>
    </row>
    <row r="824" spans="9:10" x14ac:dyDescent="0.25">
      <c r="I824" s="11"/>
      <c r="J824" s="11"/>
    </row>
    <row r="825" spans="9:10" x14ac:dyDescent="0.25">
      <c r="I825" s="11"/>
      <c r="J825" s="11"/>
    </row>
    <row r="826" spans="9:10" x14ac:dyDescent="0.25">
      <c r="I826" s="11"/>
      <c r="J826" s="11"/>
    </row>
    <row r="827" spans="9:10" x14ac:dyDescent="0.25">
      <c r="I827" s="11"/>
      <c r="J827" s="11"/>
    </row>
    <row r="828" spans="9:10" x14ac:dyDescent="0.25">
      <c r="I828" s="11"/>
      <c r="J828" s="11"/>
    </row>
    <row r="829" spans="9:10" x14ac:dyDescent="0.25">
      <c r="I829" s="11"/>
      <c r="J829" s="11"/>
    </row>
    <row r="830" spans="9:10" x14ac:dyDescent="0.25">
      <c r="I830" s="11"/>
      <c r="J830" s="11"/>
    </row>
    <row r="831" spans="9:10" x14ac:dyDescent="0.25">
      <c r="I831" s="11"/>
      <c r="J831" s="11"/>
    </row>
    <row r="832" spans="9:10" x14ac:dyDescent="0.25">
      <c r="I832" s="11"/>
      <c r="J832" s="11"/>
    </row>
    <row r="833" spans="9:10" x14ac:dyDescent="0.25">
      <c r="I833" s="11"/>
      <c r="J833" s="11"/>
    </row>
    <row r="834" spans="9:10" x14ac:dyDescent="0.25">
      <c r="I834" s="11"/>
      <c r="J834" s="11"/>
    </row>
    <row r="835" spans="9:10" x14ac:dyDescent="0.25">
      <c r="I835" s="11"/>
      <c r="J835" s="11"/>
    </row>
    <row r="836" spans="9:10" x14ac:dyDescent="0.25">
      <c r="I836" s="11"/>
      <c r="J836" s="11"/>
    </row>
    <row r="837" spans="9:10" x14ac:dyDescent="0.25">
      <c r="I837" s="11"/>
      <c r="J837" s="11"/>
    </row>
    <row r="838" spans="9:10" x14ac:dyDescent="0.25">
      <c r="I838" s="11"/>
      <c r="J838" s="11"/>
    </row>
    <row r="839" spans="9:10" x14ac:dyDescent="0.25">
      <c r="I839" s="11"/>
      <c r="J839" s="11"/>
    </row>
    <row r="840" spans="9:10" x14ac:dyDescent="0.25">
      <c r="I840" s="11"/>
      <c r="J840" s="11"/>
    </row>
    <row r="841" spans="9:10" x14ac:dyDescent="0.25">
      <c r="I841" s="11"/>
      <c r="J841" s="11"/>
    </row>
    <row r="842" spans="9:10" x14ac:dyDescent="0.25">
      <c r="I842" s="11"/>
      <c r="J842" s="11"/>
    </row>
    <row r="843" spans="9:10" x14ac:dyDescent="0.25">
      <c r="I843" s="11"/>
      <c r="J843" s="11"/>
    </row>
    <row r="844" spans="9:10" x14ac:dyDescent="0.25">
      <c r="I844" s="11"/>
      <c r="J844" s="11"/>
    </row>
  </sheetData>
  <mergeCells count="1">
    <mergeCell ref="C2:G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tart1">
                <anchor moveWithCells="1" sizeWithCells="1">
                  <from>
                    <xdr:col>2</xdr:col>
                    <xdr:colOff>676275</xdr:colOff>
                    <xdr:row>17</xdr:row>
                    <xdr:rowOff>47625</xdr:rowOff>
                  </from>
                  <to>
                    <xdr:col>2</xdr:col>
                    <xdr:colOff>1562100</xdr:colOff>
                    <xdr:row>19</xdr:row>
                    <xdr:rowOff>57150</xdr:rowOff>
                  </to>
                </anchor>
              </controlPr>
            </control>
          </mc:Choice>
        </mc:AlternateContent>
        <mc:AlternateContent xmlns:mc="http://schemas.openxmlformats.org/markup-compatibility/2006">
          <mc:Choice Requires="x14">
            <control shapeId="1026" r:id="rId5" name="Button 2">
              <controlPr defaultSize="0" print="0" autoFill="0" autoPict="0" macro="[0]!Transport">
                <anchor moveWithCells="1" sizeWithCells="1">
                  <from>
                    <xdr:col>2</xdr:col>
                    <xdr:colOff>1809750</xdr:colOff>
                    <xdr:row>17</xdr:row>
                    <xdr:rowOff>66675</xdr:rowOff>
                  </from>
                  <to>
                    <xdr:col>3</xdr:col>
                    <xdr:colOff>685800</xdr:colOff>
                    <xdr:row>19</xdr:row>
                    <xdr:rowOff>57150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FF0000"/>
  </sheetPr>
  <dimension ref="B1:L49"/>
  <sheetViews>
    <sheetView showGridLines="0" tabSelected="1" topLeftCell="C7" zoomScaleNormal="100" workbookViewId="0">
      <selection activeCell="H16" sqref="H16"/>
    </sheetView>
  </sheetViews>
  <sheetFormatPr defaultRowHeight="15" x14ac:dyDescent="0.25"/>
  <cols>
    <col min="3" max="3" width="9.140625" customWidth="1"/>
    <col min="4" max="4" width="5.5703125" style="1" customWidth="1"/>
    <col min="5" max="11" width="12.7109375" customWidth="1"/>
    <col min="12" max="12" width="14.7109375" customWidth="1"/>
  </cols>
  <sheetData>
    <row r="1" spans="2:12" ht="19.5" x14ac:dyDescent="0.25">
      <c r="B1" s="34" t="s">
        <v>61</v>
      </c>
    </row>
    <row r="2" spans="2:12" ht="60" customHeight="1" x14ac:dyDescent="0.25">
      <c r="B2" s="139" t="s">
        <v>67</v>
      </c>
      <c r="C2" s="139"/>
      <c r="D2" s="139"/>
      <c r="E2" s="139"/>
      <c r="F2" s="139"/>
      <c r="G2" s="139"/>
      <c r="H2" s="139"/>
      <c r="I2" s="139"/>
      <c r="J2" s="139"/>
    </row>
    <row r="6" spans="2:12" x14ac:dyDescent="0.25">
      <c r="B6" s="138" t="s">
        <v>60</v>
      </c>
      <c r="C6" s="138"/>
      <c r="D6" s="74">
        <v>7</v>
      </c>
    </row>
    <row r="8" spans="2:12" ht="50.1" customHeight="1" x14ac:dyDescent="0.25">
      <c r="D8" s="69"/>
      <c r="E8" s="68" t="s">
        <v>56</v>
      </c>
      <c r="F8" s="68" t="s">
        <v>53</v>
      </c>
      <c r="G8" s="68" t="s">
        <v>54</v>
      </c>
      <c r="H8" s="68" t="s">
        <v>55</v>
      </c>
      <c r="I8" s="68" t="s">
        <v>57</v>
      </c>
      <c r="J8" s="73" t="s">
        <v>58</v>
      </c>
      <c r="K8" s="72" t="s">
        <v>59</v>
      </c>
      <c r="L8" s="143" t="s">
        <v>92</v>
      </c>
    </row>
    <row r="9" spans="2:12" x14ac:dyDescent="0.25">
      <c r="D9" s="70">
        <v>1</v>
      </c>
      <c r="E9" s="81">
        <v>900</v>
      </c>
      <c r="F9" s="81">
        <v>15000</v>
      </c>
      <c r="G9" s="81">
        <v>1250</v>
      </c>
      <c r="H9" s="81">
        <v>2.5</v>
      </c>
      <c r="I9" s="81">
        <v>5</v>
      </c>
      <c r="J9" s="76">
        <v>1458.1388253988871</v>
      </c>
      <c r="K9" s="77">
        <v>2</v>
      </c>
      <c r="L9" s="131">
        <f>J9/F9</f>
        <v>9.7209255026592473E-2</v>
      </c>
    </row>
    <row r="10" spans="2:12" x14ac:dyDescent="0.25">
      <c r="D10" s="70">
        <v>2</v>
      </c>
      <c r="E10" s="81">
        <v>1000</v>
      </c>
      <c r="F10" s="81">
        <v>15000</v>
      </c>
      <c r="G10" s="81">
        <v>1250</v>
      </c>
      <c r="H10" s="81">
        <v>2.35</v>
      </c>
      <c r="I10" s="81">
        <v>5</v>
      </c>
      <c r="J10" s="76">
        <v>1258.1388253988873</v>
      </c>
      <c r="K10" s="77">
        <v>2</v>
      </c>
      <c r="L10" s="131">
        <f t="shared" ref="L10:L18" si="0">J10/F10</f>
        <v>8.3875921693259151E-2</v>
      </c>
    </row>
    <row r="11" spans="2:12" x14ac:dyDescent="0.25">
      <c r="D11" s="70">
        <v>3</v>
      </c>
      <c r="E11" s="81">
        <v>1100</v>
      </c>
      <c r="F11" s="81">
        <v>15000</v>
      </c>
      <c r="G11" s="81">
        <v>1250</v>
      </c>
      <c r="H11" s="81">
        <v>2.2000000000000002</v>
      </c>
      <c r="I11" s="81">
        <v>5</v>
      </c>
      <c r="J11" s="76">
        <v>1184.0694126994433</v>
      </c>
      <c r="K11" s="77">
        <v>1</v>
      </c>
      <c r="L11" s="131">
        <f t="shared" si="0"/>
        <v>7.893796084662956E-2</v>
      </c>
    </row>
    <row r="12" spans="2:12" x14ac:dyDescent="0.25">
      <c r="D12" s="70">
        <v>4</v>
      </c>
      <c r="E12" s="81">
        <v>1200</v>
      </c>
      <c r="F12" s="81">
        <v>15000</v>
      </c>
      <c r="G12" s="81">
        <v>1250</v>
      </c>
      <c r="H12" s="81">
        <v>2.0499999999999998</v>
      </c>
      <c r="I12" s="81">
        <v>5</v>
      </c>
      <c r="J12" s="76">
        <v>1144.0694126994442</v>
      </c>
      <c r="K12" s="77">
        <v>1</v>
      </c>
      <c r="L12" s="131">
        <f t="shared" si="0"/>
        <v>7.6271294179962951E-2</v>
      </c>
    </row>
    <row r="13" spans="2:12" x14ac:dyDescent="0.25">
      <c r="D13" s="70">
        <v>5</v>
      </c>
      <c r="E13" s="81">
        <v>1300</v>
      </c>
      <c r="F13" s="81">
        <v>15000</v>
      </c>
      <c r="G13" s="81">
        <v>1250</v>
      </c>
      <c r="H13" s="81">
        <v>1.9</v>
      </c>
      <c r="I13" s="81">
        <v>5</v>
      </c>
      <c r="J13" s="76">
        <v>1134.0694126994435</v>
      </c>
      <c r="K13" s="77">
        <v>1</v>
      </c>
      <c r="L13" s="131">
        <f t="shared" si="0"/>
        <v>7.5604627513296233E-2</v>
      </c>
    </row>
    <row r="14" spans="2:12" x14ac:dyDescent="0.25">
      <c r="D14" s="70">
        <v>6</v>
      </c>
      <c r="E14" s="81">
        <v>1400</v>
      </c>
      <c r="F14" s="81">
        <v>15000</v>
      </c>
      <c r="G14" s="81">
        <v>1250</v>
      </c>
      <c r="H14" s="81">
        <v>1.75</v>
      </c>
      <c r="I14" s="81">
        <v>5</v>
      </c>
      <c r="J14" s="76">
        <v>1154.0694126994435</v>
      </c>
      <c r="K14" s="77">
        <v>1</v>
      </c>
      <c r="L14" s="131">
        <f t="shared" si="0"/>
        <v>7.6937960846629572E-2</v>
      </c>
    </row>
    <row r="15" spans="2:12" x14ac:dyDescent="0.25">
      <c r="D15" s="70">
        <v>7</v>
      </c>
      <c r="E15" s="81">
        <v>1500</v>
      </c>
      <c r="F15" s="81">
        <v>15000</v>
      </c>
      <c r="G15" s="81">
        <v>1250</v>
      </c>
      <c r="H15" s="81">
        <v>1.6</v>
      </c>
      <c r="I15" s="81">
        <v>5</v>
      </c>
      <c r="J15" s="76">
        <v>1204.0694126994435</v>
      </c>
      <c r="K15" s="77">
        <v>1</v>
      </c>
      <c r="L15" s="131">
        <f t="shared" si="0"/>
        <v>8.0271294179962899E-2</v>
      </c>
    </row>
    <row r="16" spans="2:12" x14ac:dyDescent="0.25">
      <c r="D16" s="70">
        <v>8</v>
      </c>
      <c r="E16" s="81"/>
      <c r="F16" s="129"/>
      <c r="G16" s="81"/>
      <c r="H16" s="81"/>
      <c r="I16" s="81"/>
      <c r="J16" s="76"/>
      <c r="K16" s="77"/>
      <c r="L16" s="131"/>
    </row>
    <row r="17" spans="4:12" x14ac:dyDescent="0.25">
      <c r="D17" s="70">
        <v>9</v>
      </c>
      <c r="E17" s="81"/>
      <c r="F17" s="129"/>
      <c r="G17" s="81"/>
      <c r="H17" s="81"/>
      <c r="I17" s="81"/>
      <c r="J17" s="76"/>
      <c r="K17" s="77"/>
      <c r="L17" s="131"/>
    </row>
    <row r="18" spans="4:12" x14ac:dyDescent="0.25">
      <c r="D18" s="71">
        <v>10</v>
      </c>
      <c r="E18" s="83"/>
      <c r="F18" s="150"/>
      <c r="G18" s="83"/>
      <c r="H18" s="83"/>
      <c r="I18" s="83"/>
      <c r="J18" s="163"/>
      <c r="K18" s="164"/>
      <c r="L18" s="131"/>
    </row>
    <row r="19" spans="4:12" x14ac:dyDescent="0.25">
      <c r="D19"/>
      <c r="E19" s="87"/>
      <c r="F19" s="87"/>
      <c r="G19" s="87"/>
      <c r="H19" s="87"/>
      <c r="I19" s="87"/>
      <c r="J19" s="75"/>
      <c r="K19" s="75"/>
    </row>
    <row r="20" spans="4:12" x14ac:dyDescent="0.25">
      <c r="D20"/>
      <c r="E20" s="87"/>
      <c r="F20" s="96"/>
      <c r="G20" s="87"/>
      <c r="H20" s="87"/>
      <c r="I20" s="87"/>
      <c r="J20" s="75"/>
      <c r="K20" s="75"/>
    </row>
    <row r="21" spans="4:12" x14ac:dyDescent="0.25">
      <c r="D21"/>
      <c r="E21" s="87"/>
      <c r="F21" s="96"/>
      <c r="G21" s="87"/>
      <c r="H21" s="87"/>
      <c r="I21" s="87"/>
      <c r="J21" s="75"/>
      <c r="K21" s="75"/>
    </row>
    <row r="22" spans="4:12" x14ac:dyDescent="0.25">
      <c r="D22"/>
      <c r="E22" s="75"/>
      <c r="F22" s="75"/>
      <c r="G22" s="75"/>
      <c r="H22" s="75"/>
      <c r="I22" s="75"/>
      <c r="J22" s="75"/>
      <c r="K22" s="75"/>
    </row>
    <row r="23" spans="4:12" x14ac:dyDescent="0.25">
      <c r="D23"/>
      <c r="E23" s="75"/>
      <c r="F23" s="75"/>
      <c r="G23" s="75"/>
      <c r="H23" s="75"/>
      <c r="I23" s="75"/>
      <c r="J23" s="75"/>
      <c r="K23" s="75"/>
    </row>
    <row r="24" spans="4:12" x14ac:dyDescent="0.25">
      <c r="E24" s="75"/>
      <c r="F24" s="75"/>
      <c r="G24" s="75"/>
      <c r="H24" s="75"/>
      <c r="I24" s="75"/>
      <c r="J24" s="75"/>
      <c r="K24" s="75"/>
    </row>
    <row r="25" spans="4:12" x14ac:dyDescent="0.25">
      <c r="E25" s="75"/>
      <c r="F25" s="75"/>
      <c r="G25" s="75"/>
      <c r="H25" s="75"/>
      <c r="I25" s="75"/>
      <c r="J25" s="75"/>
      <c r="K25" s="75"/>
    </row>
    <row r="26" spans="4:12" x14ac:dyDescent="0.25">
      <c r="E26" s="75"/>
      <c r="F26" s="75"/>
      <c r="G26" s="75"/>
      <c r="H26" s="75"/>
      <c r="I26" s="75"/>
      <c r="J26" s="75"/>
      <c r="K26" s="75"/>
    </row>
    <row r="27" spans="4:12" x14ac:dyDescent="0.25">
      <c r="E27" s="75"/>
      <c r="F27" s="75"/>
      <c r="G27" s="75"/>
      <c r="H27" s="75"/>
      <c r="I27" s="75"/>
      <c r="J27" s="75"/>
      <c r="K27" s="75"/>
    </row>
    <row r="28" spans="4:12" x14ac:dyDescent="0.25">
      <c r="E28" s="75"/>
      <c r="F28" s="75"/>
      <c r="G28" s="75"/>
      <c r="H28" s="75"/>
      <c r="I28" s="75"/>
      <c r="J28" s="75"/>
      <c r="K28" s="75"/>
    </row>
    <row r="29" spans="4:12" x14ac:dyDescent="0.25">
      <c r="E29" s="75"/>
      <c r="F29" s="75"/>
      <c r="G29" s="75"/>
      <c r="H29" s="75"/>
      <c r="I29" s="75"/>
      <c r="J29" s="75"/>
      <c r="K29" s="75"/>
    </row>
    <row r="30" spans="4:12" x14ac:dyDescent="0.25">
      <c r="E30" s="75"/>
      <c r="F30" s="75"/>
      <c r="G30" s="75"/>
      <c r="H30" s="75"/>
      <c r="I30" s="75"/>
      <c r="J30" s="75"/>
      <c r="K30" s="75"/>
    </row>
    <row r="31" spans="4:12" x14ac:dyDescent="0.25">
      <c r="E31" s="75"/>
      <c r="F31" s="75"/>
      <c r="G31" s="75"/>
      <c r="H31" s="75"/>
      <c r="I31" s="75"/>
      <c r="J31" s="75"/>
      <c r="K31" s="75"/>
    </row>
    <row r="32" spans="4:12" x14ac:dyDescent="0.25">
      <c r="E32" s="75"/>
      <c r="F32" s="75"/>
      <c r="G32" s="75"/>
      <c r="H32" s="75"/>
      <c r="I32" s="75"/>
      <c r="J32" s="75"/>
      <c r="K32" s="75"/>
    </row>
    <row r="33" spans="5:11" x14ac:dyDescent="0.25">
      <c r="E33" s="75"/>
      <c r="F33" s="75"/>
      <c r="G33" s="75"/>
      <c r="H33" s="75"/>
      <c r="I33" s="75"/>
      <c r="J33" s="75"/>
      <c r="K33" s="75"/>
    </row>
    <row r="34" spans="5:11" x14ac:dyDescent="0.25">
      <c r="E34" s="75"/>
      <c r="F34" s="75"/>
      <c r="G34" s="75"/>
      <c r="H34" s="75"/>
      <c r="I34" s="75"/>
      <c r="J34" s="75"/>
      <c r="K34" s="75"/>
    </row>
    <row r="35" spans="5:11" x14ac:dyDescent="0.25">
      <c r="E35" s="75"/>
      <c r="F35" s="75"/>
      <c r="G35" s="75"/>
      <c r="H35" s="75"/>
      <c r="I35" s="75"/>
      <c r="J35" s="75"/>
      <c r="K35" s="75"/>
    </row>
    <row r="36" spans="5:11" x14ac:dyDescent="0.25">
      <c r="E36" s="75"/>
      <c r="F36" s="75"/>
      <c r="G36" s="75"/>
      <c r="H36" s="75"/>
      <c r="I36" s="75"/>
      <c r="J36" s="75"/>
      <c r="K36" s="75"/>
    </row>
    <row r="37" spans="5:11" x14ac:dyDescent="0.25">
      <c r="E37" s="75"/>
      <c r="F37" s="75"/>
      <c r="G37" s="75"/>
      <c r="H37" s="75"/>
      <c r="I37" s="75"/>
      <c r="J37" s="75"/>
      <c r="K37" s="75"/>
    </row>
    <row r="38" spans="5:11" x14ac:dyDescent="0.25">
      <c r="E38" s="75"/>
      <c r="F38" s="75"/>
      <c r="G38" s="75"/>
      <c r="H38" s="75"/>
      <c r="I38" s="75"/>
      <c r="J38" s="75"/>
      <c r="K38" s="75"/>
    </row>
    <row r="39" spans="5:11" x14ac:dyDescent="0.25">
      <c r="E39" s="75"/>
      <c r="F39" s="75"/>
      <c r="G39" s="75"/>
      <c r="H39" s="75"/>
      <c r="I39" s="75"/>
      <c r="J39" s="75"/>
      <c r="K39" s="75"/>
    </row>
    <row r="40" spans="5:11" x14ac:dyDescent="0.25">
      <c r="E40" s="75"/>
      <c r="F40" s="75"/>
      <c r="G40" s="75"/>
      <c r="H40" s="75"/>
      <c r="I40" s="75"/>
      <c r="J40" s="75"/>
      <c r="K40" s="75"/>
    </row>
    <row r="41" spans="5:11" x14ac:dyDescent="0.25">
      <c r="E41" s="75"/>
      <c r="F41" s="75"/>
      <c r="G41" s="75"/>
      <c r="H41" s="75"/>
      <c r="I41" s="75"/>
      <c r="J41" s="75"/>
      <c r="K41" s="75"/>
    </row>
    <row r="42" spans="5:11" x14ac:dyDescent="0.25">
      <c r="E42" s="75"/>
      <c r="F42" s="75"/>
      <c r="G42" s="75"/>
      <c r="H42" s="75"/>
      <c r="I42" s="75"/>
      <c r="J42" s="75"/>
      <c r="K42" s="75"/>
    </row>
    <row r="43" spans="5:11" x14ac:dyDescent="0.25">
      <c r="E43" s="75"/>
      <c r="F43" s="75"/>
      <c r="G43" s="75"/>
      <c r="H43" s="75"/>
      <c r="I43" s="75"/>
      <c r="J43" s="75"/>
      <c r="K43" s="75"/>
    </row>
    <row r="44" spans="5:11" x14ac:dyDescent="0.25">
      <c r="E44" s="75"/>
      <c r="F44" s="75"/>
      <c r="G44" s="75"/>
      <c r="H44" s="75"/>
      <c r="I44" s="75"/>
      <c r="J44" s="75"/>
      <c r="K44" s="75"/>
    </row>
    <row r="45" spans="5:11" x14ac:dyDescent="0.25">
      <c r="E45" s="75"/>
      <c r="F45" s="75"/>
      <c r="G45" s="75"/>
      <c r="H45" s="75"/>
      <c r="I45" s="75"/>
      <c r="J45" s="75"/>
      <c r="K45" s="75"/>
    </row>
    <row r="46" spans="5:11" x14ac:dyDescent="0.25">
      <c r="E46" s="75"/>
      <c r="F46" s="75"/>
      <c r="G46" s="75"/>
      <c r="H46" s="75"/>
      <c r="I46" s="75"/>
      <c r="J46" s="75"/>
      <c r="K46" s="75"/>
    </row>
    <row r="47" spans="5:11" x14ac:dyDescent="0.25">
      <c r="E47" s="75"/>
      <c r="F47" s="75"/>
      <c r="G47" s="75"/>
      <c r="H47" s="75"/>
      <c r="I47" s="75"/>
      <c r="J47" s="75"/>
      <c r="K47" s="75"/>
    </row>
    <row r="48" spans="5:11" x14ac:dyDescent="0.25">
      <c r="E48" s="75"/>
      <c r="F48" s="75"/>
      <c r="G48" s="75"/>
      <c r="H48" s="75"/>
      <c r="I48" s="75"/>
      <c r="J48" s="75"/>
      <c r="K48" s="75"/>
    </row>
    <row r="49" spans="5:11" x14ac:dyDescent="0.25">
      <c r="E49" s="75"/>
      <c r="F49" s="75"/>
      <c r="G49" s="75"/>
      <c r="H49" s="75"/>
      <c r="I49" s="75"/>
      <c r="J49" s="75"/>
      <c r="K49" s="75"/>
    </row>
  </sheetData>
  <mergeCells count="2">
    <mergeCell ref="B6:C6"/>
    <mergeCell ref="B2:J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ClearInput_Table">
                <anchor moveWithCells="1" sizeWithCells="1">
                  <from>
                    <xdr:col>4</xdr:col>
                    <xdr:colOff>85725</xdr:colOff>
                    <xdr:row>4</xdr:row>
                    <xdr:rowOff>161925</xdr:rowOff>
                  </from>
                  <to>
                    <xdr:col>5</xdr:col>
                    <xdr:colOff>152400</xdr:colOff>
                    <xdr:row>6</xdr:row>
                    <xdr:rowOff>142875</xdr:rowOff>
                  </to>
                </anchor>
              </controlPr>
            </control>
          </mc:Choice>
        </mc:AlternateContent>
        <mc:AlternateContent xmlns:mc="http://schemas.openxmlformats.org/markup-compatibility/2006">
          <mc:Choice Requires="x14">
            <control shapeId="5122" r:id="rId4" name="Button 2">
              <controlPr defaultSize="0" print="0" autoFill="0" autoPict="0" macro="[0]!ClearOutput_Table">
                <anchor moveWithCells="1" sizeWithCells="1">
                  <from>
                    <xdr:col>9</xdr:col>
                    <xdr:colOff>781050</xdr:colOff>
                    <xdr:row>4</xdr:row>
                    <xdr:rowOff>152400</xdr:rowOff>
                  </from>
                  <to>
                    <xdr:col>11</xdr:col>
                    <xdr:colOff>9525</xdr:colOff>
                    <xdr:row>6</xdr:row>
                    <xdr:rowOff>133350</xdr:rowOff>
                  </to>
                </anchor>
              </controlPr>
            </control>
          </mc:Choice>
        </mc:AlternateContent>
        <mc:AlternateContent xmlns:mc="http://schemas.openxmlformats.org/markup-compatibility/2006">
          <mc:Choice Requires="x14">
            <control shapeId="5123" r:id="rId5" name="Button 3">
              <controlPr defaultSize="0" print="0" autoFill="0" autoPict="0" macro="[0]!CalTablex">
                <anchor moveWithCells="1" sizeWithCells="1">
                  <from>
                    <xdr:col>6</xdr:col>
                    <xdr:colOff>342900</xdr:colOff>
                    <xdr:row>3</xdr:row>
                    <xdr:rowOff>76200</xdr:rowOff>
                  </from>
                  <to>
                    <xdr:col>8</xdr:col>
                    <xdr:colOff>561975</xdr:colOff>
                    <xdr:row>6</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00B0F0"/>
  </sheetPr>
  <dimension ref="A1:M12"/>
  <sheetViews>
    <sheetView showGridLines="0" zoomScaleNormal="100" workbookViewId="0"/>
  </sheetViews>
  <sheetFormatPr defaultRowHeight="15" x14ac:dyDescent="0.25"/>
  <cols>
    <col min="2" max="2" width="4.140625" customWidth="1"/>
    <col min="12" max="12" width="9.140625" customWidth="1"/>
  </cols>
  <sheetData>
    <row r="1" spans="1:13" ht="18" x14ac:dyDescent="0.25">
      <c r="A1" s="91" t="s">
        <v>75</v>
      </c>
    </row>
    <row r="2" spans="1:13" ht="77.099999999999994" customHeight="1" x14ac:dyDescent="0.25">
      <c r="B2" s="140" t="s">
        <v>83</v>
      </c>
      <c r="C2" s="141"/>
      <c r="D2" s="141"/>
      <c r="E2" s="141"/>
      <c r="F2" s="141"/>
      <c r="G2" s="141"/>
      <c r="H2" s="141"/>
      <c r="I2" s="141"/>
      <c r="J2" s="141"/>
      <c r="K2" s="141"/>
      <c r="L2" s="141"/>
      <c r="M2" s="141"/>
    </row>
    <row r="3" spans="1:13" x14ac:dyDescent="0.25">
      <c r="D3" s="92" t="s">
        <v>76</v>
      </c>
    </row>
    <row r="4" spans="1:13" ht="78.75" x14ac:dyDescent="0.25">
      <c r="E4" s="122" t="s">
        <v>56</v>
      </c>
      <c r="F4" s="123" t="s">
        <v>53</v>
      </c>
      <c r="G4" s="123" t="s">
        <v>54</v>
      </c>
      <c r="H4" s="123" t="s">
        <v>55</v>
      </c>
      <c r="I4" s="123" t="s">
        <v>57</v>
      </c>
      <c r="J4" s="120" t="s">
        <v>58</v>
      </c>
      <c r="K4" s="121" t="s">
        <v>59</v>
      </c>
    </row>
    <row r="5" spans="1:13" x14ac:dyDescent="0.25">
      <c r="E5" s="118">
        <v>1000</v>
      </c>
      <c r="F5" s="88">
        <v>10000</v>
      </c>
      <c r="G5" s="88">
        <v>1000</v>
      </c>
      <c r="H5" s="88">
        <v>1</v>
      </c>
      <c r="I5" s="88">
        <v>1</v>
      </c>
      <c r="J5" s="89">
        <v>1399.7665904786647</v>
      </c>
      <c r="K5" s="90">
        <v>1</v>
      </c>
    </row>
    <row r="6" spans="1:13" x14ac:dyDescent="0.25">
      <c r="E6" s="118">
        <v>1000</v>
      </c>
      <c r="F6" s="88">
        <v>9000</v>
      </c>
      <c r="G6" s="88">
        <v>1000</v>
      </c>
      <c r="H6" s="88">
        <v>1</v>
      </c>
      <c r="I6" s="88">
        <v>2</v>
      </c>
      <c r="J6" s="89">
        <v>1717.8571428571429</v>
      </c>
      <c r="K6" s="90">
        <v>2</v>
      </c>
    </row>
    <row r="7" spans="1:13" x14ac:dyDescent="0.25">
      <c r="E7" s="118">
        <v>1000</v>
      </c>
      <c r="F7" s="88">
        <v>8000</v>
      </c>
      <c r="G7" s="88">
        <v>1000</v>
      </c>
      <c r="H7" s="88">
        <v>1</v>
      </c>
      <c r="I7" s="88">
        <v>3</v>
      </c>
      <c r="J7" s="89">
        <v>1910.2675102675103</v>
      </c>
      <c r="K7" s="90">
        <v>2</v>
      </c>
    </row>
    <row r="8" spans="1:13" x14ac:dyDescent="0.25">
      <c r="E8" s="118">
        <v>1000</v>
      </c>
      <c r="F8" s="88">
        <v>7000</v>
      </c>
      <c r="G8" s="88">
        <v>1000</v>
      </c>
      <c r="H8" s="88">
        <v>1</v>
      </c>
      <c r="I8" s="88">
        <v>4</v>
      </c>
      <c r="J8" s="89">
        <v>1950</v>
      </c>
      <c r="K8" s="90">
        <v>2</v>
      </c>
    </row>
    <row r="9" spans="1:13" x14ac:dyDescent="0.25">
      <c r="E9" s="119">
        <v>1000</v>
      </c>
      <c r="F9" s="115">
        <v>6000</v>
      </c>
      <c r="G9" s="115">
        <v>1000</v>
      </c>
      <c r="H9" s="115">
        <v>1</v>
      </c>
      <c r="I9" s="115">
        <v>5</v>
      </c>
      <c r="J9" s="116">
        <v>1852.3809523809523</v>
      </c>
      <c r="K9" s="117">
        <v>2</v>
      </c>
    </row>
    <row r="10" spans="1:13" x14ac:dyDescent="0.25">
      <c r="D10" s="114"/>
      <c r="E10" s="114"/>
      <c r="F10" s="114"/>
      <c r="G10" s="114"/>
      <c r="H10" s="114"/>
      <c r="I10" s="114"/>
      <c r="J10" s="114"/>
      <c r="K10" s="114"/>
    </row>
    <row r="12" spans="1:13" x14ac:dyDescent="0.25">
      <c r="B12" s="142" t="s">
        <v>77</v>
      </c>
      <c r="C12" s="142"/>
      <c r="D12" s="142"/>
      <c r="E12" s="142"/>
      <c r="F12" s="142"/>
      <c r="G12" s="142"/>
      <c r="H12" s="142"/>
      <c r="I12" s="142"/>
      <c r="J12" s="142"/>
      <c r="K12" s="142"/>
      <c r="L12" s="142"/>
      <c r="M12" s="142"/>
    </row>
  </sheetData>
  <mergeCells count="2">
    <mergeCell ref="B2:M2"/>
    <mergeCell ref="B12:M12"/>
  </mergeCells>
  <pageMargins left="0.7" right="0.7" top="0.75" bottom="0.75" header="0.3" footer="0.3"/>
  <pageSetup paperSize="8" orientation="landscape" horizontalDpi="0"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FFFF00"/>
  </sheetPr>
  <dimension ref="A1:M14"/>
  <sheetViews>
    <sheetView showGridLines="0" topLeftCell="A13" zoomScale="90" zoomScaleNormal="90" workbookViewId="0"/>
  </sheetViews>
  <sheetFormatPr defaultRowHeight="15" x14ac:dyDescent="0.25"/>
  <cols>
    <col min="3" max="3" width="11" customWidth="1"/>
    <col min="9" max="9" width="10.85546875" style="12" customWidth="1"/>
    <col min="11" max="11" width="14" style="97" customWidth="1"/>
  </cols>
  <sheetData>
    <row r="1" spans="1:13" ht="18" x14ac:dyDescent="0.25">
      <c r="A1" s="91" t="s">
        <v>79</v>
      </c>
    </row>
    <row r="2" spans="1:13" ht="39" customHeight="1" x14ac:dyDescent="0.25">
      <c r="B2" s="140" t="s">
        <v>90</v>
      </c>
      <c r="C2" s="141"/>
      <c r="D2" s="141"/>
      <c r="E2" s="141"/>
      <c r="F2" s="141"/>
      <c r="G2" s="141"/>
      <c r="H2" s="141"/>
      <c r="I2" s="141"/>
      <c r="J2" s="141"/>
      <c r="K2" s="141"/>
      <c r="L2" s="141"/>
      <c r="M2" s="141"/>
    </row>
    <row r="3" spans="1:13" x14ac:dyDescent="0.25">
      <c r="C3" s="93" t="s">
        <v>81</v>
      </c>
    </row>
    <row r="4" spans="1:13" ht="78.75" x14ac:dyDescent="0.25">
      <c r="D4" s="98" t="s">
        <v>56</v>
      </c>
      <c r="E4" s="98" t="s">
        <v>53</v>
      </c>
      <c r="F4" s="98" t="s">
        <v>54</v>
      </c>
      <c r="G4" s="98" t="s">
        <v>55</v>
      </c>
      <c r="H4" s="98" t="s">
        <v>57</v>
      </c>
      <c r="I4" s="99" t="s">
        <v>58</v>
      </c>
      <c r="J4" s="100" t="s">
        <v>59</v>
      </c>
      <c r="K4" s="101" t="s">
        <v>80</v>
      </c>
      <c r="L4" s="114"/>
      <c r="M4" s="114"/>
    </row>
    <row r="5" spans="1:13" x14ac:dyDescent="0.25">
      <c r="D5" s="102">
        <v>1000</v>
      </c>
      <c r="E5" s="102">
        <v>10000</v>
      </c>
      <c r="F5" s="102">
        <v>1000</v>
      </c>
      <c r="G5" s="102">
        <v>1</v>
      </c>
      <c r="H5" s="102">
        <v>1</v>
      </c>
      <c r="I5" s="103">
        <v>1399.7665904786647</v>
      </c>
      <c r="J5" s="104">
        <v>1</v>
      </c>
      <c r="K5" s="105">
        <f>I5/H5</f>
        <v>1399.7665904786647</v>
      </c>
      <c r="L5" s="114"/>
      <c r="M5" s="114"/>
    </row>
    <row r="6" spans="1:13" x14ac:dyDescent="0.25">
      <c r="D6" s="106">
        <v>1000</v>
      </c>
      <c r="E6" s="106">
        <v>10000</v>
      </c>
      <c r="F6" s="106">
        <v>1000</v>
      </c>
      <c r="G6" s="106">
        <v>1</v>
      </c>
      <c r="H6" s="106">
        <v>2</v>
      </c>
      <c r="I6" s="107">
        <v>1828.968253968254</v>
      </c>
      <c r="J6" s="108">
        <v>2</v>
      </c>
      <c r="K6" s="109">
        <f t="shared" ref="K6:K14" si="0">I6/H6</f>
        <v>914.48412698412699</v>
      </c>
      <c r="L6" s="114"/>
      <c r="M6" s="114"/>
    </row>
    <row r="7" spans="1:13" x14ac:dyDescent="0.25">
      <c r="D7" s="102">
        <v>1000</v>
      </c>
      <c r="E7" s="102">
        <v>10000</v>
      </c>
      <c r="F7" s="102">
        <v>1000</v>
      </c>
      <c r="G7" s="102">
        <v>1</v>
      </c>
      <c r="H7" s="102">
        <v>3</v>
      </c>
      <c r="I7" s="103">
        <v>2241.8718536365595</v>
      </c>
      <c r="J7" s="104">
        <v>3</v>
      </c>
      <c r="K7" s="105">
        <f t="shared" si="0"/>
        <v>747.29061787885314</v>
      </c>
      <c r="L7" s="114"/>
      <c r="M7" s="114"/>
    </row>
    <row r="8" spans="1:13" x14ac:dyDescent="0.25">
      <c r="D8" s="106">
        <v>1000</v>
      </c>
      <c r="E8" s="106">
        <v>10000</v>
      </c>
      <c r="F8" s="106">
        <v>1000</v>
      </c>
      <c r="G8" s="106">
        <v>1</v>
      </c>
      <c r="H8" s="106">
        <v>4</v>
      </c>
      <c r="I8" s="107">
        <v>2576.7857142857142</v>
      </c>
      <c r="J8" s="108">
        <v>3</v>
      </c>
      <c r="K8" s="109">
        <f t="shared" si="0"/>
        <v>644.19642857142856</v>
      </c>
      <c r="L8" s="114"/>
      <c r="M8" s="114"/>
    </row>
    <row r="9" spans="1:13" x14ac:dyDescent="0.25">
      <c r="D9" s="102">
        <v>1000</v>
      </c>
      <c r="E9" s="102">
        <v>10000</v>
      </c>
      <c r="F9" s="102">
        <v>1000</v>
      </c>
      <c r="G9" s="102">
        <v>1</v>
      </c>
      <c r="H9" s="102">
        <v>5</v>
      </c>
      <c r="I9" s="103">
        <v>2815.4012654012654</v>
      </c>
      <c r="J9" s="104">
        <v>3</v>
      </c>
      <c r="K9" s="105">
        <f t="shared" si="0"/>
        <v>563.0802530802531</v>
      </c>
      <c r="L9" s="114"/>
      <c r="M9" s="114"/>
    </row>
    <row r="10" spans="1:13" x14ac:dyDescent="0.25">
      <c r="D10" s="106">
        <v>1000</v>
      </c>
      <c r="E10" s="106">
        <v>10000</v>
      </c>
      <c r="F10" s="106">
        <v>1000</v>
      </c>
      <c r="G10" s="106">
        <v>1</v>
      </c>
      <c r="H10" s="106">
        <v>6</v>
      </c>
      <c r="I10" s="107">
        <v>2989.2857142857142</v>
      </c>
      <c r="J10" s="108">
        <v>3</v>
      </c>
      <c r="K10" s="109">
        <f t="shared" si="0"/>
        <v>498.21428571428572</v>
      </c>
      <c r="L10" s="114"/>
      <c r="M10" s="114"/>
    </row>
    <row r="11" spans="1:13" x14ac:dyDescent="0.25">
      <c r="D11" s="102">
        <v>1000</v>
      </c>
      <c r="E11" s="102">
        <v>10000</v>
      </c>
      <c r="F11" s="102">
        <v>1000</v>
      </c>
      <c r="G11" s="102">
        <v>1</v>
      </c>
      <c r="H11" s="102">
        <v>7</v>
      </c>
      <c r="I11" s="103">
        <v>3153.868353868354</v>
      </c>
      <c r="J11" s="104">
        <v>4</v>
      </c>
      <c r="K11" s="105">
        <f t="shared" si="0"/>
        <v>450.55262198119345</v>
      </c>
      <c r="L11" s="114"/>
      <c r="M11" s="114"/>
    </row>
    <row r="12" spans="1:13" ht="15.75" x14ac:dyDescent="0.25">
      <c r="D12" s="106">
        <v>1000</v>
      </c>
      <c r="E12" s="106">
        <v>10000</v>
      </c>
      <c r="F12" s="106">
        <v>1000</v>
      </c>
      <c r="G12" s="106">
        <v>1</v>
      </c>
      <c r="H12" s="106">
        <v>8</v>
      </c>
      <c r="I12" s="110">
        <v>3271.4285714285711</v>
      </c>
      <c r="J12" s="111">
        <v>4</v>
      </c>
      <c r="K12" s="109">
        <f t="shared" si="0"/>
        <v>408.92857142857139</v>
      </c>
      <c r="L12" s="114"/>
      <c r="M12" s="114"/>
    </row>
    <row r="13" spans="1:13" ht="15.75" x14ac:dyDescent="0.25">
      <c r="D13" s="102">
        <v>1000</v>
      </c>
      <c r="E13" s="102">
        <v>10000</v>
      </c>
      <c r="F13" s="102">
        <v>1000</v>
      </c>
      <c r="G13" s="102">
        <v>1</v>
      </c>
      <c r="H13" s="102">
        <v>9</v>
      </c>
      <c r="I13" s="112">
        <v>3346.1760461760459</v>
      </c>
      <c r="J13" s="113">
        <v>4</v>
      </c>
      <c r="K13" s="105">
        <f t="shared" si="0"/>
        <v>371.79733846400512</v>
      </c>
      <c r="L13" s="114"/>
      <c r="M13" s="114"/>
    </row>
    <row r="14" spans="1:13" ht="15.75" x14ac:dyDescent="0.25">
      <c r="D14" s="106">
        <v>1000</v>
      </c>
      <c r="E14" s="106">
        <v>10000</v>
      </c>
      <c r="F14" s="106">
        <v>1000</v>
      </c>
      <c r="G14" s="106">
        <v>1</v>
      </c>
      <c r="H14" s="106">
        <v>10</v>
      </c>
      <c r="I14" s="110">
        <v>3382.5396825396824</v>
      </c>
      <c r="J14" s="111">
        <v>4</v>
      </c>
      <c r="K14" s="109">
        <f t="shared" si="0"/>
        <v>338.25396825396825</v>
      </c>
      <c r="L14" s="114"/>
      <c r="M14" s="114"/>
    </row>
  </sheetData>
  <mergeCells count="1">
    <mergeCell ref="B2:M2"/>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7030A0"/>
  </sheetPr>
  <dimension ref="B1:L844"/>
  <sheetViews>
    <sheetView showGridLines="0" zoomScaleNormal="100" workbookViewId="0">
      <selection activeCell="C1" sqref="C1"/>
    </sheetView>
  </sheetViews>
  <sheetFormatPr defaultRowHeight="15" x14ac:dyDescent="0.25"/>
  <cols>
    <col min="1" max="2" width="7.7109375" customWidth="1"/>
    <col min="3" max="3" width="44.28515625" customWidth="1"/>
    <col min="4" max="4" width="11" style="1" customWidth="1"/>
    <col min="8" max="8" width="12.5703125" style="1" customWidth="1"/>
    <col min="9" max="9" width="11.28515625" style="1" customWidth="1"/>
    <col min="10" max="10" width="13" style="1" customWidth="1"/>
    <col min="11" max="12" width="9.140625" style="1"/>
  </cols>
  <sheetData>
    <row r="1" spans="2:12" ht="24.95" customHeight="1" x14ac:dyDescent="0.25">
      <c r="B1" s="149" t="s">
        <v>112</v>
      </c>
    </row>
    <row r="2" spans="2:12" ht="54.95" customHeight="1" x14ac:dyDescent="0.25">
      <c r="B2" s="137" t="s">
        <v>66</v>
      </c>
      <c r="C2" s="137"/>
      <c r="D2" s="137"/>
      <c r="E2" s="137"/>
      <c r="F2" s="137"/>
      <c r="G2" s="36"/>
      <c r="L2"/>
    </row>
    <row r="3" spans="2:12" ht="18" customHeight="1" x14ac:dyDescent="0.25">
      <c r="B3" s="137"/>
      <c r="C3" s="137"/>
      <c r="D3" s="137"/>
      <c r="E3" s="137"/>
      <c r="F3" s="137"/>
      <c r="G3" s="36"/>
      <c r="L3"/>
    </row>
    <row r="4" spans="2:12" x14ac:dyDescent="0.25">
      <c r="B4" t="s">
        <v>24</v>
      </c>
      <c r="C4" s="1"/>
      <c r="D4"/>
      <c r="G4" s="1"/>
      <c r="L4"/>
    </row>
    <row r="5" spans="2:12" ht="15.75" x14ac:dyDescent="0.25">
      <c r="B5" t="s">
        <v>36</v>
      </c>
      <c r="C5" s="1"/>
      <c r="D5"/>
      <c r="G5" s="1"/>
      <c r="L5"/>
    </row>
    <row r="7" spans="2:12" ht="15.75" thickBot="1" x14ac:dyDescent="0.3">
      <c r="C7" s="35" t="s">
        <v>2</v>
      </c>
      <c r="D7" s="23"/>
      <c r="G7" s="22" t="s">
        <v>35</v>
      </c>
    </row>
    <row r="8" spans="2:12" x14ac:dyDescent="0.25">
      <c r="C8" s="82" t="s">
        <v>23</v>
      </c>
      <c r="D8" s="24">
        <v>1000</v>
      </c>
      <c r="G8" s="13"/>
      <c r="H8" s="14" t="s">
        <v>111</v>
      </c>
    </row>
    <row r="9" spans="2:12" x14ac:dyDescent="0.25">
      <c r="C9" s="25" t="s">
        <v>22</v>
      </c>
      <c r="D9" s="26">
        <v>30.882352941176471</v>
      </c>
    </row>
    <row r="10" spans="2:12" x14ac:dyDescent="0.25">
      <c r="C10" s="27" t="s">
        <v>1</v>
      </c>
      <c r="D10" s="28">
        <v>9000</v>
      </c>
      <c r="H10" s="1" t="s">
        <v>62</v>
      </c>
      <c r="I10" s="1" t="s">
        <v>63</v>
      </c>
      <c r="J10" s="1" t="s">
        <v>64</v>
      </c>
      <c r="K10" s="1" t="s">
        <v>65</v>
      </c>
    </row>
    <row r="11" spans="2:12" x14ac:dyDescent="0.25">
      <c r="C11" s="25" t="s">
        <v>0</v>
      </c>
      <c r="D11" s="29">
        <v>3</v>
      </c>
      <c r="H11" s="1">
        <v>0</v>
      </c>
      <c r="I11" s="11">
        <v>30.882352941176471</v>
      </c>
      <c r="J11" s="11">
        <v>9000</v>
      </c>
      <c r="K11" s="1">
        <v>3</v>
      </c>
    </row>
    <row r="12" spans="2:12" x14ac:dyDescent="0.25">
      <c r="C12" s="27" t="s">
        <v>3</v>
      </c>
      <c r="D12" s="28">
        <v>1000</v>
      </c>
      <c r="H12" s="1">
        <v>1</v>
      </c>
      <c r="I12" s="11">
        <v>97.54901960784315</v>
      </c>
      <c r="J12" s="11">
        <v>8000</v>
      </c>
      <c r="K12" s="1">
        <v>3</v>
      </c>
    </row>
    <row r="13" spans="2:12" x14ac:dyDescent="0.25">
      <c r="C13" s="30" t="s">
        <v>15</v>
      </c>
      <c r="D13" s="29">
        <v>1</v>
      </c>
      <c r="H13" s="1">
        <v>2</v>
      </c>
      <c r="I13" s="11">
        <v>174.47209653092006</v>
      </c>
      <c r="J13" s="11">
        <v>7000</v>
      </c>
      <c r="K13" s="1">
        <v>3</v>
      </c>
    </row>
    <row r="14" spans="2:12" x14ac:dyDescent="0.25">
      <c r="C14" s="31" t="s">
        <v>8</v>
      </c>
      <c r="D14" s="32">
        <v>10</v>
      </c>
      <c r="H14" s="1">
        <v>3</v>
      </c>
      <c r="I14" s="11">
        <v>265.38118744001099</v>
      </c>
      <c r="J14" s="11">
        <v>6000</v>
      </c>
      <c r="K14" s="1">
        <v>3</v>
      </c>
    </row>
    <row r="15" spans="2:12" x14ac:dyDescent="0.25">
      <c r="H15" s="1">
        <v>4</v>
      </c>
      <c r="I15" s="11">
        <v>376.49229855112208</v>
      </c>
      <c r="J15" s="11">
        <v>5000</v>
      </c>
      <c r="K15" s="1">
        <v>3</v>
      </c>
    </row>
    <row r="16" spans="2:12" x14ac:dyDescent="0.25">
      <c r="H16" s="1">
        <v>5</v>
      </c>
      <c r="I16" s="11">
        <v>519.34944140826497</v>
      </c>
      <c r="J16" s="11">
        <v>4000</v>
      </c>
      <c r="K16" s="1">
        <v>3</v>
      </c>
    </row>
    <row r="17" spans="3:11" x14ac:dyDescent="0.25">
      <c r="C17" s="12" t="s">
        <v>110</v>
      </c>
      <c r="H17" s="1">
        <v>6</v>
      </c>
      <c r="I17" s="11">
        <v>719.34944140826497</v>
      </c>
      <c r="J17" s="11">
        <v>3000</v>
      </c>
      <c r="K17" s="1">
        <v>3</v>
      </c>
    </row>
    <row r="18" spans="3:11" x14ac:dyDescent="0.25">
      <c r="H18" s="1">
        <v>7</v>
      </c>
      <c r="I18" s="11">
        <v>1000</v>
      </c>
      <c r="J18" s="11">
        <v>2158.0500000000002</v>
      </c>
      <c r="K18" s="1">
        <v>3</v>
      </c>
    </row>
    <row r="19" spans="3:11" x14ac:dyDescent="0.25">
      <c r="I19" s="11"/>
      <c r="J19" s="11"/>
    </row>
    <row r="20" spans="3:11" x14ac:dyDescent="0.25">
      <c r="I20" s="11"/>
      <c r="J20" s="11"/>
    </row>
    <row r="21" spans="3:11" x14ac:dyDescent="0.25">
      <c r="I21" s="11"/>
      <c r="J21" s="11"/>
    </row>
    <row r="22" spans="3:11" x14ac:dyDescent="0.25">
      <c r="I22" s="11"/>
      <c r="J22" s="11"/>
    </row>
    <row r="23" spans="3:11" x14ac:dyDescent="0.25">
      <c r="I23" s="11"/>
      <c r="J23" s="11"/>
    </row>
    <row r="24" spans="3:11" x14ac:dyDescent="0.25">
      <c r="I24" s="11"/>
      <c r="J24" s="11"/>
    </row>
    <row r="25" spans="3:11" x14ac:dyDescent="0.25">
      <c r="I25" s="11"/>
      <c r="J25" s="11"/>
    </row>
    <row r="26" spans="3:11" x14ac:dyDescent="0.25">
      <c r="I26" s="11"/>
      <c r="J26" s="11"/>
    </row>
    <row r="27" spans="3:11" x14ac:dyDescent="0.25">
      <c r="I27" s="11"/>
      <c r="J27" s="11"/>
    </row>
    <row r="28" spans="3:11" x14ac:dyDescent="0.25">
      <c r="I28" s="11"/>
      <c r="J28" s="11"/>
    </row>
    <row r="29" spans="3:11" x14ac:dyDescent="0.25">
      <c r="I29" s="11"/>
      <c r="J29" s="11"/>
    </row>
    <row r="30" spans="3:11" x14ac:dyDescent="0.25">
      <c r="C30" s="2"/>
      <c r="I30" s="11"/>
      <c r="J30" s="11"/>
    </row>
    <row r="31" spans="3:11" x14ac:dyDescent="0.25">
      <c r="I31" s="11"/>
      <c r="J31" s="11"/>
    </row>
    <row r="32" spans="3:11" x14ac:dyDescent="0.25">
      <c r="I32" s="11"/>
      <c r="J32" s="11"/>
    </row>
    <row r="33" spans="9:10" x14ac:dyDescent="0.25">
      <c r="I33" s="11"/>
      <c r="J33" s="11"/>
    </row>
    <row r="34" spans="9:10" x14ac:dyDescent="0.25">
      <c r="I34" s="11"/>
      <c r="J34" s="11"/>
    </row>
    <row r="35" spans="9:10" x14ac:dyDescent="0.25">
      <c r="I35" s="11"/>
      <c r="J35" s="11"/>
    </row>
    <row r="36" spans="9:10" x14ac:dyDescent="0.25">
      <c r="I36" s="11"/>
      <c r="J36" s="11"/>
    </row>
    <row r="37" spans="9:10" x14ac:dyDescent="0.25">
      <c r="I37" s="11"/>
      <c r="J37" s="11"/>
    </row>
    <row r="38" spans="9:10" x14ac:dyDescent="0.25">
      <c r="I38" s="11"/>
      <c r="J38" s="11"/>
    </row>
    <row r="39" spans="9:10" x14ac:dyDescent="0.25">
      <c r="I39" s="11"/>
      <c r="J39" s="11"/>
    </row>
    <row r="40" spans="9:10" x14ac:dyDescent="0.25">
      <c r="I40" s="11"/>
      <c r="J40" s="11"/>
    </row>
    <row r="41" spans="9:10" x14ac:dyDescent="0.25">
      <c r="I41" s="11"/>
      <c r="J41" s="11"/>
    </row>
    <row r="42" spans="9:10" x14ac:dyDescent="0.25">
      <c r="I42" s="11"/>
      <c r="J42" s="11"/>
    </row>
    <row r="43" spans="9:10" x14ac:dyDescent="0.25">
      <c r="I43" s="11"/>
      <c r="J43" s="11"/>
    </row>
    <row r="44" spans="9:10" x14ac:dyDescent="0.25">
      <c r="I44" s="11"/>
      <c r="J44" s="11"/>
    </row>
    <row r="45" spans="9:10" x14ac:dyDescent="0.25">
      <c r="I45" s="11"/>
      <c r="J45" s="11"/>
    </row>
    <row r="46" spans="9:10" x14ac:dyDescent="0.25">
      <c r="I46" s="11"/>
      <c r="J46" s="11"/>
    </row>
    <row r="47" spans="9:10" x14ac:dyDescent="0.25">
      <c r="I47" s="11"/>
      <c r="J47" s="11"/>
    </row>
    <row r="48" spans="9:10" x14ac:dyDescent="0.25">
      <c r="I48" s="11"/>
      <c r="J48" s="11"/>
    </row>
    <row r="49" spans="9:10" x14ac:dyDescent="0.25">
      <c r="I49" s="11"/>
      <c r="J49" s="11"/>
    </row>
    <row r="50" spans="9:10" x14ac:dyDescent="0.25">
      <c r="I50" s="11"/>
      <c r="J50" s="11"/>
    </row>
    <row r="51" spans="9:10" x14ac:dyDescent="0.25">
      <c r="I51" s="11"/>
      <c r="J51" s="11"/>
    </row>
    <row r="52" spans="9:10" x14ac:dyDescent="0.25">
      <c r="I52" s="11"/>
      <c r="J52" s="11"/>
    </row>
    <row r="53" spans="9:10" x14ac:dyDescent="0.25">
      <c r="I53" s="11"/>
      <c r="J53" s="11"/>
    </row>
    <row r="54" spans="9:10" x14ac:dyDescent="0.25">
      <c r="I54" s="11"/>
      <c r="J54" s="11"/>
    </row>
    <row r="55" spans="9:10" x14ac:dyDescent="0.25">
      <c r="I55" s="11"/>
      <c r="J55" s="11"/>
    </row>
    <row r="56" spans="9:10" x14ac:dyDescent="0.25">
      <c r="I56" s="11"/>
      <c r="J56" s="11"/>
    </row>
    <row r="57" spans="9:10" x14ac:dyDescent="0.25">
      <c r="I57" s="11"/>
      <c r="J57" s="11"/>
    </row>
    <row r="58" spans="9:10" x14ac:dyDescent="0.25">
      <c r="I58" s="11"/>
      <c r="J58" s="11"/>
    </row>
    <row r="59" spans="9:10" x14ac:dyDescent="0.25">
      <c r="I59" s="11"/>
      <c r="J59" s="11"/>
    </row>
    <row r="60" spans="9:10" x14ac:dyDescent="0.25">
      <c r="I60" s="11"/>
      <c r="J60" s="11"/>
    </row>
    <row r="61" spans="9:10" x14ac:dyDescent="0.25">
      <c r="I61" s="11"/>
      <c r="J61" s="11"/>
    </row>
    <row r="62" spans="9:10" x14ac:dyDescent="0.25">
      <c r="I62" s="11"/>
      <c r="J62" s="11"/>
    </row>
    <row r="63" spans="9:10" x14ac:dyDescent="0.25">
      <c r="I63" s="11"/>
      <c r="J63" s="11"/>
    </row>
    <row r="64" spans="9:10" x14ac:dyDescent="0.25">
      <c r="I64" s="11"/>
      <c r="J64" s="11"/>
    </row>
    <row r="65" spans="9:10" x14ac:dyDescent="0.25">
      <c r="I65" s="11"/>
      <c r="J65" s="11"/>
    </row>
    <row r="66" spans="9:10" x14ac:dyDescent="0.25">
      <c r="I66" s="11"/>
      <c r="J66" s="11"/>
    </row>
    <row r="67" spans="9:10" x14ac:dyDescent="0.25">
      <c r="I67" s="11"/>
      <c r="J67" s="11"/>
    </row>
    <row r="68" spans="9:10" x14ac:dyDescent="0.25">
      <c r="I68" s="11"/>
      <c r="J68" s="11"/>
    </row>
    <row r="69" spans="9:10" x14ac:dyDescent="0.25">
      <c r="I69" s="11"/>
      <c r="J69" s="11"/>
    </row>
    <row r="70" spans="9:10" x14ac:dyDescent="0.25">
      <c r="I70" s="11"/>
      <c r="J70" s="11"/>
    </row>
    <row r="71" spans="9:10" x14ac:dyDescent="0.25">
      <c r="I71" s="11"/>
      <c r="J71" s="11"/>
    </row>
    <row r="72" spans="9:10" x14ac:dyDescent="0.25">
      <c r="I72" s="11"/>
      <c r="J72" s="11"/>
    </row>
    <row r="73" spans="9:10" x14ac:dyDescent="0.25">
      <c r="I73" s="11"/>
      <c r="J73" s="11"/>
    </row>
    <row r="74" spans="9:10" x14ac:dyDescent="0.25">
      <c r="I74" s="11"/>
      <c r="J74" s="11"/>
    </row>
    <row r="75" spans="9:10" x14ac:dyDescent="0.25">
      <c r="I75" s="11"/>
      <c r="J75" s="11"/>
    </row>
    <row r="76" spans="9:10" x14ac:dyDescent="0.25">
      <c r="I76" s="11"/>
      <c r="J76" s="11"/>
    </row>
    <row r="77" spans="9:10" x14ac:dyDescent="0.25">
      <c r="I77" s="11"/>
      <c r="J77" s="11"/>
    </row>
    <row r="78" spans="9:10" x14ac:dyDescent="0.25">
      <c r="I78" s="11"/>
      <c r="J78" s="11"/>
    </row>
    <row r="79" spans="9:10" x14ac:dyDescent="0.25">
      <c r="I79" s="11"/>
      <c r="J79" s="11"/>
    </row>
    <row r="80" spans="9:10" x14ac:dyDescent="0.25">
      <c r="I80" s="11"/>
      <c r="J80" s="11"/>
    </row>
    <row r="81" spans="9:10" x14ac:dyDescent="0.25">
      <c r="I81" s="11"/>
      <c r="J81" s="11"/>
    </row>
    <row r="82" spans="9:10" x14ac:dyDescent="0.25">
      <c r="I82" s="11"/>
      <c r="J82" s="11"/>
    </row>
    <row r="83" spans="9:10" x14ac:dyDescent="0.25">
      <c r="I83" s="11"/>
      <c r="J83" s="11"/>
    </row>
    <row r="84" spans="9:10" x14ac:dyDescent="0.25">
      <c r="I84" s="11"/>
      <c r="J84" s="11"/>
    </row>
    <row r="85" spans="9:10" x14ac:dyDescent="0.25">
      <c r="I85" s="11"/>
      <c r="J85" s="11"/>
    </row>
    <row r="86" spans="9:10" x14ac:dyDescent="0.25">
      <c r="I86" s="11"/>
      <c r="J86" s="11"/>
    </row>
    <row r="87" spans="9:10" x14ac:dyDescent="0.25">
      <c r="I87" s="11"/>
      <c r="J87" s="11"/>
    </row>
    <row r="88" spans="9:10" x14ac:dyDescent="0.25">
      <c r="I88" s="11"/>
      <c r="J88" s="11"/>
    </row>
    <row r="89" spans="9:10" x14ac:dyDescent="0.25">
      <c r="I89" s="11"/>
      <c r="J89" s="11"/>
    </row>
    <row r="90" spans="9:10" x14ac:dyDescent="0.25">
      <c r="I90" s="11"/>
      <c r="J90" s="11"/>
    </row>
    <row r="91" spans="9:10" x14ac:dyDescent="0.25">
      <c r="I91" s="11"/>
      <c r="J91" s="11"/>
    </row>
    <row r="92" spans="9:10" x14ac:dyDescent="0.25">
      <c r="I92" s="11"/>
      <c r="J92" s="11"/>
    </row>
    <row r="93" spans="9:10" x14ac:dyDescent="0.25">
      <c r="I93" s="11"/>
      <c r="J93" s="11"/>
    </row>
    <row r="94" spans="9:10" x14ac:dyDescent="0.25">
      <c r="I94" s="11"/>
      <c r="J94" s="11"/>
    </row>
    <row r="95" spans="9:10" x14ac:dyDescent="0.25">
      <c r="I95" s="11"/>
      <c r="J95" s="11"/>
    </row>
    <row r="96" spans="9:10" x14ac:dyDescent="0.25">
      <c r="I96" s="11"/>
      <c r="J96" s="11"/>
    </row>
    <row r="97" spans="9:10" x14ac:dyDescent="0.25">
      <c r="I97" s="11"/>
      <c r="J97" s="11"/>
    </row>
    <row r="98" spans="9:10" x14ac:dyDescent="0.25">
      <c r="I98" s="11"/>
      <c r="J98" s="11"/>
    </row>
    <row r="99" spans="9:10" x14ac:dyDescent="0.25">
      <c r="I99" s="11"/>
      <c r="J99" s="11"/>
    </row>
    <row r="100" spans="9:10" x14ac:dyDescent="0.25">
      <c r="I100" s="11"/>
      <c r="J100" s="11"/>
    </row>
    <row r="101" spans="9:10" x14ac:dyDescent="0.25">
      <c r="I101" s="11"/>
      <c r="J101" s="11"/>
    </row>
    <row r="102" spans="9:10" x14ac:dyDescent="0.25">
      <c r="I102" s="11"/>
      <c r="J102" s="11"/>
    </row>
    <row r="103" spans="9:10" x14ac:dyDescent="0.25">
      <c r="I103" s="11"/>
      <c r="J103" s="11"/>
    </row>
    <row r="104" spans="9:10" x14ac:dyDescent="0.25">
      <c r="I104" s="11"/>
      <c r="J104" s="11"/>
    </row>
    <row r="105" spans="9:10" x14ac:dyDescent="0.25">
      <c r="I105" s="11"/>
      <c r="J105" s="11"/>
    </row>
    <row r="106" spans="9:10" x14ac:dyDescent="0.25">
      <c r="I106" s="11"/>
      <c r="J106" s="11"/>
    </row>
    <row r="107" spans="9:10" x14ac:dyDescent="0.25">
      <c r="I107" s="11"/>
      <c r="J107" s="11"/>
    </row>
    <row r="108" spans="9:10" x14ac:dyDescent="0.25">
      <c r="I108" s="11"/>
      <c r="J108" s="11"/>
    </row>
    <row r="109" spans="9:10" x14ac:dyDescent="0.25">
      <c r="I109" s="11"/>
      <c r="J109" s="11"/>
    </row>
    <row r="110" spans="9:10" x14ac:dyDescent="0.25">
      <c r="I110" s="11"/>
      <c r="J110" s="11"/>
    </row>
    <row r="111" spans="9:10" x14ac:dyDescent="0.25">
      <c r="I111" s="11"/>
      <c r="J111" s="11"/>
    </row>
    <row r="112" spans="9:10" x14ac:dyDescent="0.25">
      <c r="I112" s="11"/>
      <c r="J112" s="11"/>
    </row>
    <row r="113" spans="9:10" x14ac:dyDescent="0.25">
      <c r="I113" s="11"/>
      <c r="J113" s="11"/>
    </row>
    <row r="114" spans="9:10" x14ac:dyDescent="0.25">
      <c r="I114" s="11"/>
      <c r="J114" s="11"/>
    </row>
    <row r="115" spans="9:10" x14ac:dyDescent="0.25">
      <c r="I115" s="11"/>
      <c r="J115" s="11"/>
    </row>
    <row r="116" spans="9:10" x14ac:dyDescent="0.25">
      <c r="I116" s="11"/>
      <c r="J116" s="11"/>
    </row>
    <row r="117" spans="9:10" x14ac:dyDescent="0.25">
      <c r="I117" s="11"/>
      <c r="J117" s="11"/>
    </row>
    <row r="118" spans="9:10" x14ac:dyDescent="0.25">
      <c r="I118" s="11"/>
      <c r="J118" s="11"/>
    </row>
    <row r="119" spans="9:10" x14ac:dyDescent="0.25">
      <c r="I119" s="11"/>
      <c r="J119" s="11"/>
    </row>
    <row r="120" spans="9:10" x14ac:dyDescent="0.25">
      <c r="I120" s="11"/>
      <c r="J120" s="11"/>
    </row>
    <row r="121" spans="9:10" x14ac:dyDescent="0.25">
      <c r="I121" s="11"/>
      <c r="J121" s="11"/>
    </row>
    <row r="122" spans="9:10" x14ac:dyDescent="0.25">
      <c r="I122" s="11"/>
      <c r="J122" s="11"/>
    </row>
    <row r="123" spans="9:10" x14ac:dyDescent="0.25">
      <c r="I123" s="11"/>
      <c r="J123" s="11"/>
    </row>
    <row r="124" spans="9:10" x14ac:dyDescent="0.25">
      <c r="I124" s="11"/>
      <c r="J124" s="11"/>
    </row>
    <row r="125" spans="9:10" x14ac:dyDescent="0.25">
      <c r="I125" s="11"/>
      <c r="J125" s="11"/>
    </row>
    <row r="126" spans="9:10" x14ac:dyDescent="0.25">
      <c r="I126" s="11"/>
      <c r="J126" s="11"/>
    </row>
    <row r="127" spans="9:10" x14ac:dyDescent="0.25">
      <c r="I127" s="11"/>
      <c r="J127" s="11"/>
    </row>
    <row r="128" spans="9:10" x14ac:dyDescent="0.25">
      <c r="I128" s="11"/>
      <c r="J128" s="11"/>
    </row>
    <row r="129" spans="9:10" x14ac:dyDescent="0.25">
      <c r="I129" s="11"/>
      <c r="J129" s="11"/>
    </row>
    <row r="130" spans="9:10" x14ac:dyDescent="0.25">
      <c r="I130" s="11"/>
      <c r="J130" s="11"/>
    </row>
    <row r="131" spans="9:10" x14ac:dyDescent="0.25">
      <c r="I131" s="11"/>
      <c r="J131" s="11"/>
    </row>
    <row r="132" spans="9:10" x14ac:dyDescent="0.25">
      <c r="I132" s="11"/>
      <c r="J132" s="11"/>
    </row>
    <row r="133" spans="9:10" x14ac:dyDescent="0.25">
      <c r="I133" s="11"/>
      <c r="J133" s="11"/>
    </row>
    <row r="134" spans="9:10" x14ac:dyDescent="0.25">
      <c r="I134" s="11"/>
      <c r="J134" s="11"/>
    </row>
    <row r="135" spans="9:10" x14ac:dyDescent="0.25">
      <c r="I135" s="11"/>
      <c r="J135" s="11"/>
    </row>
    <row r="136" spans="9:10" x14ac:dyDescent="0.25">
      <c r="I136" s="11"/>
      <c r="J136" s="11"/>
    </row>
    <row r="137" spans="9:10" x14ac:dyDescent="0.25">
      <c r="I137" s="11"/>
      <c r="J137" s="11"/>
    </row>
    <row r="138" spans="9:10" x14ac:dyDescent="0.25">
      <c r="I138" s="11"/>
      <c r="J138" s="11"/>
    </row>
    <row r="139" spans="9:10" x14ac:dyDescent="0.25">
      <c r="I139" s="11"/>
      <c r="J139" s="11"/>
    </row>
    <row r="140" spans="9:10" x14ac:dyDescent="0.25">
      <c r="I140" s="11"/>
      <c r="J140" s="11"/>
    </row>
    <row r="141" spans="9:10" x14ac:dyDescent="0.25">
      <c r="I141" s="11"/>
      <c r="J141" s="11"/>
    </row>
    <row r="142" spans="9:10" x14ac:dyDescent="0.25">
      <c r="I142" s="11"/>
      <c r="J142" s="11"/>
    </row>
    <row r="143" spans="9:10" x14ac:dyDescent="0.25">
      <c r="I143" s="11"/>
      <c r="J143" s="11"/>
    </row>
    <row r="144" spans="9:10" x14ac:dyDescent="0.25">
      <c r="I144" s="11"/>
      <c r="J144" s="11"/>
    </row>
    <row r="145" spans="9:10" x14ac:dyDescent="0.25">
      <c r="I145" s="11"/>
      <c r="J145" s="11"/>
    </row>
    <row r="146" spans="9:10" x14ac:dyDescent="0.25">
      <c r="I146" s="11"/>
      <c r="J146" s="11"/>
    </row>
    <row r="147" spans="9:10" x14ac:dyDescent="0.25">
      <c r="I147" s="11"/>
      <c r="J147" s="11"/>
    </row>
    <row r="148" spans="9:10" x14ac:dyDescent="0.25">
      <c r="I148" s="11"/>
      <c r="J148" s="11"/>
    </row>
    <row r="149" spans="9:10" x14ac:dyDescent="0.25">
      <c r="I149" s="11"/>
      <c r="J149" s="11"/>
    </row>
    <row r="150" spans="9:10" x14ac:dyDescent="0.25">
      <c r="I150" s="11"/>
      <c r="J150" s="11"/>
    </row>
    <row r="151" spans="9:10" x14ac:dyDescent="0.25">
      <c r="I151" s="11"/>
      <c r="J151" s="11"/>
    </row>
    <row r="152" spans="9:10" x14ac:dyDescent="0.25">
      <c r="I152" s="11"/>
      <c r="J152" s="11"/>
    </row>
    <row r="153" spans="9:10" x14ac:dyDescent="0.25">
      <c r="I153" s="11"/>
      <c r="J153" s="11"/>
    </row>
    <row r="154" spans="9:10" x14ac:dyDescent="0.25">
      <c r="I154" s="11"/>
      <c r="J154" s="11"/>
    </row>
    <row r="155" spans="9:10" x14ac:dyDescent="0.25">
      <c r="I155" s="11"/>
      <c r="J155" s="11"/>
    </row>
    <row r="156" spans="9:10" x14ac:dyDescent="0.25">
      <c r="I156" s="11"/>
      <c r="J156" s="11"/>
    </row>
    <row r="157" spans="9:10" x14ac:dyDescent="0.25">
      <c r="I157" s="11"/>
      <c r="J157" s="11"/>
    </row>
    <row r="158" spans="9:10" x14ac:dyDescent="0.25">
      <c r="I158" s="11"/>
      <c r="J158" s="11"/>
    </row>
    <row r="159" spans="9:10" x14ac:dyDescent="0.25">
      <c r="I159" s="11"/>
      <c r="J159" s="11"/>
    </row>
    <row r="160" spans="9:10" x14ac:dyDescent="0.25">
      <c r="I160" s="11"/>
      <c r="J160" s="11"/>
    </row>
    <row r="161" spans="9:10" x14ac:dyDescent="0.25">
      <c r="I161" s="11"/>
      <c r="J161" s="11"/>
    </row>
    <row r="162" spans="9:10" x14ac:dyDescent="0.25">
      <c r="I162" s="11"/>
      <c r="J162" s="11"/>
    </row>
    <row r="163" spans="9:10" x14ac:dyDescent="0.25">
      <c r="I163" s="11"/>
      <c r="J163" s="11"/>
    </row>
    <row r="164" spans="9:10" x14ac:dyDescent="0.25">
      <c r="I164" s="11"/>
      <c r="J164" s="11"/>
    </row>
    <row r="165" spans="9:10" x14ac:dyDescent="0.25">
      <c r="I165" s="11"/>
      <c r="J165" s="11"/>
    </row>
    <row r="166" spans="9:10" x14ac:dyDescent="0.25">
      <c r="I166" s="11"/>
      <c r="J166" s="11"/>
    </row>
    <row r="167" spans="9:10" x14ac:dyDescent="0.25">
      <c r="I167" s="11"/>
      <c r="J167" s="11"/>
    </row>
    <row r="168" spans="9:10" x14ac:dyDescent="0.25">
      <c r="I168" s="11"/>
      <c r="J168" s="11"/>
    </row>
    <row r="169" spans="9:10" x14ac:dyDescent="0.25">
      <c r="I169" s="11"/>
      <c r="J169" s="11"/>
    </row>
    <row r="170" spans="9:10" x14ac:dyDescent="0.25">
      <c r="I170" s="11"/>
      <c r="J170" s="11"/>
    </row>
    <row r="171" spans="9:10" x14ac:dyDescent="0.25">
      <c r="I171" s="11"/>
      <c r="J171" s="11"/>
    </row>
    <row r="172" spans="9:10" x14ac:dyDescent="0.25">
      <c r="I172" s="11"/>
      <c r="J172" s="11"/>
    </row>
    <row r="173" spans="9:10" x14ac:dyDescent="0.25">
      <c r="I173" s="11"/>
      <c r="J173" s="11"/>
    </row>
    <row r="174" spans="9:10" x14ac:dyDescent="0.25">
      <c r="I174" s="11"/>
      <c r="J174" s="11"/>
    </row>
    <row r="175" spans="9:10" x14ac:dyDescent="0.25">
      <c r="I175" s="11"/>
      <c r="J175" s="11"/>
    </row>
    <row r="176" spans="9:10" x14ac:dyDescent="0.25">
      <c r="I176" s="11"/>
      <c r="J176" s="11"/>
    </row>
    <row r="177" spans="9:10" x14ac:dyDescent="0.25">
      <c r="I177" s="11"/>
      <c r="J177" s="11"/>
    </row>
    <row r="178" spans="9:10" x14ac:dyDescent="0.25">
      <c r="I178" s="11"/>
      <c r="J178" s="11"/>
    </row>
    <row r="179" spans="9:10" x14ac:dyDescent="0.25">
      <c r="I179" s="11"/>
      <c r="J179" s="11"/>
    </row>
    <row r="180" spans="9:10" x14ac:dyDescent="0.25">
      <c r="I180" s="11"/>
      <c r="J180" s="11"/>
    </row>
    <row r="181" spans="9:10" x14ac:dyDescent="0.25">
      <c r="I181" s="11"/>
      <c r="J181" s="11"/>
    </row>
    <row r="182" spans="9:10" x14ac:dyDescent="0.25">
      <c r="I182" s="11"/>
      <c r="J182" s="11"/>
    </row>
    <row r="183" spans="9:10" x14ac:dyDescent="0.25">
      <c r="I183" s="11"/>
      <c r="J183" s="11"/>
    </row>
    <row r="184" spans="9:10" x14ac:dyDescent="0.25">
      <c r="I184" s="11"/>
      <c r="J184" s="11"/>
    </row>
    <row r="185" spans="9:10" x14ac:dyDescent="0.25">
      <c r="I185" s="11"/>
      <c r="J185" s="11"/>
    </row>
    <row r="186" spans="9:10" x14ac:dyDescent="0.25">
      <c r="I186" s="11"/>
      <c r="J186" s="11"/>
    </row>
    <row r="187" spans="9:10" x14ac:dyDescent="0.25">
      <c r="I187" s="11"/>
      <c r="J187" s="11"/>
    </row>
    <row r="188" spans="9:10" x14ac:dyDescent="0.25">
      <c r="I188" s="11"/>
      <c r="J188" s="11"/>
    </row>
    <row r="189" spans="9:10" x14ac:dyDescent="0.25">
      <c r="I189" s="11"/>
      <c r="J189" s="11"/>
    </row>
    <row r="190" spans="9:10" x14ac:dyDescent="0.25">
      <c r="I190" s="11"/>
      <c r="J190" s="11"/>
    </row>
    <row r="191" spans="9:10" x14ac:dyDescent="0.25">
      <c r="I191" s="11"/>
      <c r="J191" s="11"/>
    </row>
    <row r="192" spans="9:10" x14ac:dyDescent="0.25">
      <c r="I192" s="11"/>
      <c r="J192" s="11"/>
    </row>
    <row r="193" spans="9:10" x14ac:dyDescent="0.25">
      <c r="I193" s="11"/>
      <c r="J193" s="11"/>
    </row>
    <row r="194" spans="9:10" x14ac:dyDescent="0.25">
      <c r="I194" s="11"/>
      <c r="J194" s="11"/>
    </row>
    <row r="195" spans="9:10" x14ac:dyDescent="0.25">
      <c r="I195" s="11"/>
      <c r="J195" s="11"/>
    </row>
    <row r="196" spans="9:10" x14ac:dyDescent="0.25">
      <c r="I196" s="11"/>
      <c r="J196" s="11"/>
    </row>
    <row r="197" spans="9:10" x14ac:dyDescent="0.25">
      <c r="I197" s="11"/>
      <c r="J197" s="11"/>
    </row>
    <row r="198" spans="9:10" x14ac:dyDescent="0.25">
      <c r="I198" s="11"/>
      <c r="J198" s="11"/>
    </row>
    <row r="199" spans="9:10" x14ac:dyDescent="0.25">
      <c r="I199" s="11"/>
      <c r="J199" s="11"/>
    </row>
    <row r="200" spans="9:10" x14ac:dyDescent="0.25">
      <c r="I200" s="11"/>
      <c r="J200" s="11"/>
    </row>
    <row r="201" spans="9:10" x14ac:dyDescent="0.25">
      <c r="I201" s="11"/>
      <c r="J201" s="11"/>
    </row>
    <row r="202" spans="9:10" x14ac:dyDescent="0.25">
      <c r="I202" s="11"/>
      <c r="J202" s="11"/>
    </row>
    <row r="203" spans="9:10" x14ac:dyDescent="0.25">
      <c r="I203" s="11"/>
      <c r="J203" s="11"/>
    </row>
    <row r="204" spans="9:10" x14ac:dyDescent="0.25">
      <c r="I204" s="11"/>
      <c r="J204" s="11"/>
    </row>
    <row r="205" spans="9:10" x14ac:dyDescent="0.25">
      <c r="I205" s="11"/>
      <c r="J205" s="11"/>
    </row>
    <row r="206" spans="9:10" x14ac:dyDescent="0.25">
      <c r="I206" s="11"/>
      <c r="J206" s="11"/>
    </row>
    <row r="207" spans="9:10" x14ac:dyDescent="0.25">
      <c r="I207" s="11"/>
      <c r="J207" s="11"/>
    </row>
    <row r="208" spans="9:10" x14ac:dyDescent="0.25">
      <c r="I208" s="11"/>
      <c r="J208" s="11"/>
    </row>
    <row r="209" spans="9:10" x14ac:dyDescent="0.25">
      <c r="I209" s="11"/>
      <c r="J209" s="11"/>
    </row>
    <row r="210" spans="9:10" x14ac:dyDescent="0.25">
      <c r="I210" s="11"/>
      <c r="J210" s="11"/>
    </row>
    <row r="211" spans="9:10" x14ac:dyDescent="0.25">
      <c r="I211" s="11"/>
      <c r="J211" s="11"/>
    </row>
    <row r="212" spans="9:10" x14ac:dyDescent="0.25">
      <c r="I212" s="11"/>
      <c r="J212" s="11"/>
    </row>
    <row r="213" spans="9:10" x14ac:dyDescent="0.25">
      <c r="I213" s="11"/>
      <c r="J213" s="11"/>
    </row>
    <row r="214" spans="9:10" x14ac:dyDescent="0.25">
      <c r="I214" s="11"/>
      <c r="J214" s="11"/>
    </row>
    <row r="215" spans="9:10" x14ac:dyDescent="0.25">
      <c r="I215" s="11"/>
      <c r="J215" s="11"/>
    </row>
    <row r="216" spans="9:10" x14ac:dyDescent="0.25">
      <c r="I216" s="11"/>
      <c r="J216" s="11"/>
    </row>
    <row r="217" spans="9:10" x14ac:dyDescent="0.25">
      <c r="I217" s="11"/>
      <c r="J217" s="11"/>
    </row>
    <row r="218" spans="9:10" x14ac:dyDescent="0.25">
      <c r="I218" s="11"/>
      <c r="J218" s="11"/>
    </row>
    <row r="219" spans="9:10" x14ac:dyDescent="0.25">
      <c r="I219" s="11"/>
      <c r="J219" s="11"/>
    </row>
    <row r="220" spans="9:10" x14ac:dyDescent="0.25">
      <c r="I220" s="11"/>
      <c r="J220" s="11"/>
    </row>
    <row r="221" spans="9:10" x14ac:dyDescent="0.25">
      <c r="I221" s="11"/>
      <c r="J221" s="11"/>
    </row>
    <row r="222" spans="9:10" x14ac:dyDescent="0.25">
      <c r="I222" s="11"/>
      <c r="J222" s="11"/>
    </row>
    <row r="223" spans="9:10" x14ac:dyDescent="0.25">
      <c r="I223" s="11"/>
      <c r="J223" s="11"/>
    </row>
    <row r="224" spans="9:10" x14ac:dyDescent="0.25">
      <c r="I224" s="11"/>
      <c r="J224" s="11"/>
    </row>
    <row r="225" spans="9:10" x14ac:dyDescent="0.25">
      <c r="I225" s="11"/>
      <c r="J225" s="11"/>
    </row>
    <row r="226" spans="9:10" x14ac:dyDescent="0.25">
      <c r="I226" s="11"/>
      <c r="J226" s="11"/>
    </row>
    <row r="227" spans="9:10" x14ac:dyDescent="0.25">
      <c r="I227" s="11"/>
      <c r="J227" s="11"/>
    </row>
    <row r="228" spans="9:10" x14ac:dyDescent="0.25">
      <c r="I228" s="11"/>
      <c r="J228" s="11"/>
    </row>
    <row r="229" spans="9:10" x14ac:dyDescent="0.25">
      <c r="I229" s="11"/>
      <c r="J229" s="11"/>
    </row>
    <row r="230" spans="9:10" x14ac:dyDescent="0.25">
      <c r="I230" s="11"/>
      <c r="J230" s="11"/>
    </row>
    <row r="231" spans="9:10" x14ac:dyDescent="0.25">
      <c r="I231" s="11"/>
      <c r="J231" s="11"/>
    </row>
    <row r="232" spans="9:10" x14ac:dyDescent="0.25">
      <c r="I232" s="11"/>
      <c r="J232" s="11"/>
    </row>
    <row r="233" spans="9:10" x14ac:dyDescent="0.25">
      <c r="I233" s="11"/>
      <c r="J233" s="11"/>
    </row>
    <row r="234" spans="9:10" x14ac:dyDescent="0.25">
      <c r="I234" s="11"/>
      <c r="J234" s="11"/>
    </row>
    <row r="235" spans="9:10" x14ac:dyDescent="0.25">
      <c r="I235" s="11"/>
      <c r="J235" s="11"/>
    </row>
    <row r="236" spans="9:10" x14ac:dyDescent="0.25">
      <c r="I236" s="11"/>
      <c r="J236" s="11"/>
    </row>
    <row r="237" spans="9:10" x14ac:dyDescent="0.25">
      <c r="I237" s="11"/>
      <c r="J237" s="11"/>
    </row>
    <row r="238" spans="9:10" x14ac:dyDescent="0.25">
      <c r="I238" s="11"/>
      <c r="J238" s="11"/>
    </row>
    <row r="239" spans="9:10" x14ac:dyDescent="0.25">
      <c r="I239" s="11"/>
      <c r="J239" s="11"/>
    </row>
    <row r="240" spans="9:10" x14ac:dyDescent="0.25">
      <c r="I240" s="11"/>
      <c r="J240" s="11"/>
    </row>
    <row r="241" spans="9:10" x14ac:dyDescent="0.25">
      <c r="I241" s="11"/>
      <c r="J241" s="11"/>
    </row>
    <row r="242" spans="9:10" x14ac:dyDescent="0.25">
      <c r="I242" s="11"/>
      <c r="J242" s="11"/>
    </row>
    <row r="243" spans="9:10" x14ac:dyDescent="0.25">
      <c r="I243" s="11"/>
      <c r="J243" s="11"/>
    </row>
    <row r="244" spans="9:10" x14ac:dyDescent="0.25">
      <c r="I244" s="11"/>
      <c r="J244" s="11"/>
    </row>
    <row r="245" spans="9:10" x14ac:dyDescent="0.25">
      <c r="I245" s="11"/>
      <c r="J245" s="11"/>
    </row>
    <row r="246" spans="9:10" x14ac:dyDescent="0.25">
      <c r="I246" s="11"/>
      <c r="J246" s="11"/>
    </row>
    <row r="247" spans="9:10" x14ac:dyDescent="0.25">
      <c r="I247" s="11"/>
      <c r="J247" s="11"/>
    </row>
    <row r="248" spans="9:10" x14ac:dyDescent="0.25">
      <c r="I248" s="11"/>
      <c r="J248" s="11"/>
    </row>
    <row r="249" spans="9:10" x14ac:dyDescent="0.25">
      <c r="I249" s="11"/>
      <c r="J249" s="11"/>
    </row>
    <row r="250" spans="9:10" x14ac:dyDescent="0.25">
      <c r="I250" s="11"/>
      <c r="J250" s="11"/>
    </row>
    <row r="251" spans="9:10" x14ac:dyDescent="0.25">
      <c r="I251" s="11"/>
      <c r="J251" s="11"/>
    </row>
    <row r="252" spans="9:10" x14ac:dyDescent="0.25">
      <c r="I252" s="11"/>
      <c r="J252" s="11"/>
    </row>
    <row r="253" spans="9:10" x14ac:dyDescent="0.25">
      <c r="I253" s="11"/>
      <c r="J253" s="11"/>
    </row>
    <row r="254" spans="9:10" x14ac:dyDescent="0.25">
      <c r="I254" s="11"/>
      <c r="J254" s="11"/>
    </row>
    <row r="255" spans="9:10" x14ac:dyDescent="0.25">
      <c r="I255" s="11"/>
      <c r="J255" s="11"/>
    </row>
    <row r="256" spans="9:10" x14ac:dyDescent="0.25">
      <c r="I256" s="11"/>
      <c r="J256" s="11"/>
    </row>
    <row r="257" spans="9:10" x14ac:dyDescent="0.25">
      <c r="I257" s="11"/>
      <c r="J257" s="11"/>
    </row>
    <row r="258" spans="9:10" x14ac:dyDescent="0.25">
      <c r="I258" s="11"/>
      <c r="J258" s="11"/>
    </row>
    <row r="259" spans="9:10" x14ac:dyDescent="0.25">
      <c r="I259" s="11"/>
      <c r="J259" s="11"/>
    </row>
    <row r="260" spans="9:10" x14ac:dyDescent="0.25">
      <c r="I260" s="11"/>
      <c r="J260" s="11"/>
    </row>
    <row r="261" spans="9:10" x14ac:dyDescent="0.25">
      <c r="I261" s="11"/>
      <c r="J261" s="11"/>
    </row>
    <row r="262" spans="9:10" x14ac:dyDescent="0.25">
      <c r="I262" s="11"/>
      <c r="J262" s="11"/>
    </row>
    <row r="263" spans="9:10" x14ac:dyDescent="0.25">
      <c r="I263" s="11"/>
      <c r="J263" s="11"/>
    </row>
    <row r="264" spans="9:10" x14ac:dyDescent="0.25">
      <c r="I264" s="11"/>
      <c r="J264" s="11"/>
    </row>
    <row r="265" spans="9:10" x14ac:dyDescent="0.25">
      <c r="I265" s="11"/>
      <c r="J265" s="11"/>
    </row>
    <row r="266" spans="9:10" x14ac:dyDescent="0.25">
      <c r="I266" s="11"/>
      <c r="J266" s="11"/>
    </row>
    <row r="267" spans="9:10" x14ac:dyDescent="0.25">
      <c r="I267" s="11"/>
      <c r="J267" s="11"/>
    </row>
    <row r="268" spans="9:10" x14ac:dyDescent="0.25">
      <c r="I268" s="11"/>
      <c r="J268" s="11"/>
    </row>
    <row r="269" spans="9:10" x14ac:dyDescent="0.25">
      <c r="I269" s="11"/>
      <c r="J269" s="11"/>
    </row>
    <row r="270" spans="9:10" x14ac:dyDescent="0.25">
      <c r="I270" s="11"/>
      <c r="J270" s="11"/>
    </row>
    <row r="271" spans="9:10" x14ac:dyDescent="0.25">
      <c r="I271" s="11"/>
      <c r="J271" s="11"/>
    </row>
    <row r="272" spans="9:10" x14ac:dyDescent="0.25">
      <c r="I272" s="11"/>
      <c r="J272" s="11"/>
    </row>
    <row r="273" spans="9:10" x14ac:dyDescent="0.25">
      <c r="I273" s="11"/>
      <c r="J273" s="11"/>
    </row>
    <row r="274" spans="9:10" x14ac:dyDescent="0.25">
      <c r="I274" s="11"/>
      <c r="J274" s="11"/>
    </row>
    <row r="275" spans="9:10" x14ac:dyDescent="0.25">
      <c r="I275" s="11"/>
      <c r="J275" s="11"/>
    </row>
    <row r="276" spans="9:10" x14ac:dyDescent="0.25">
      <c r="I276" s="11"/>
      <c r="J276" s="11"/>
    </row>
    <row r="277" spans="9:10" x14ac:dyDescent="0.25">
      <c r="I277" s="11"/>
      <c r="J277" s="11"/>
    </row>
    <row r="278" spans="9:10" x14ac:dyDescent="0.25">
      <c r="I278" s="11"/>
      <c r="J278" s="11"/>
    </row>
    <row r="279" spans="9:10" x14ac:dyDescent="0.25">
      <c r="I279" s="11"/>
      <c r="J279" s="11"/>
    </row>
    <row r="280" spans="9:10" x14ac:dyDescent="0.25">
      <c r="I280" s="11"/>
      <c r="J280" s="11"/>
    </row>
    <row r="281" spans="9:10" x14ac:dyDescent="0.25">
      <c r="I281" s="11"/>
      <c r="J281" s="11"/>
    </row>
    <row r="282" spans="9:10" x14ac:dyDescent="0.25">
      <c r="I282" s="11"/>
      <c r="J282" s="11"/>
    </row>
    <row r="283" spans="9:10" x14ac:dyDescent="0.25">
      <c r="I283" s="11"/>
      <c r="J283" s="11"/>
    </row>
    <row r="284" spans="9:10" x14ac:dyDescent="0.25">
      <c r="I284" s="11"/>
      <c r="J284" s="11"/>
    </row>
    <row r="285" spans="9:10" x14ac:dyDescent="0.25">
      <c r="I285" s="11"/>
      <c r="J285" s="11"/>
    </row>
    <row r="286" spans="9:10" x14ac:dyDescent="0.25">
      <c r="I286" s="11"/>
      <c r="J286" s="11"/>
    </row>
    <row r="287" spans="9:10" x14ac:dyDescent="0.25">
      <c r="I287" s="11"/>
      <c r="J287" s="11"/>
    </row>
    <row r="288" spans="9:10" x14ac:dyDescent="0.25">
      <c r="I288" s="11"/>
      <c r="J288" s="11"/>
    </row>
    <row r="289" spans="9:10" x14ac:dyDescent="0.25">
      <c r="I289" s="11"/>
      <c r="J289" s="11"/>
    </row>
    <row r="290" spans="9:10" x14ac:dyDescent="0.25">
      <c r="I290" s="11"/>
      <c r="J290" s="11"/>
    </row>
    <row r="291" spans="9:10" x14ac:dyDescent="0.25">
      <c r="I291" s="11"/>
      <c r="J291" s="11"/>
    </row>
    <row r="292" spans="9:10" x14ac:dyDescent="0.25">
      <c r="I292" s="11"/>
      <c r="J292" s="11"/>
    </row>
    <row r="293" spans="9:10" x14ac:dyDescent="0.25">
      <c r="I293" s="11"/>
      <c r="J293" s="11"/>
    </row>
    <row r="294" spans="9:10" x14ac:dyDescent="0.25">
      <c r="I294" s="11"/>
      <c r="J294" s="11"/>
    </row>
    <row r="295" spans="9:10" x14ac:dyDescent="0.25">
      <c r="I295" s="11"/>
      <c r="J295" s="11"/>
    </row>
    <row r="296" spans="9:10" x14ac:dyDescent="0.25">
      <c r="I296" s="11"/>
      <c r="J296" s="11"/>
    </row>
    <row r="297" spans="9:10" x14ac:dyDescent="0.25">
      <c r="I297" s="11"/>
      <c r="J297" s="11"/>
    </row>
    <row r="298" spans="9:10" x14ac:dyDescent="0.25">
      <c r="I298" s="11"/>
      <c r="J298" s="11"/>
    </row>
    <row r="299" spans="9:10" x14ac:dyDescent="0.25">
      <c r="I299" s="11"/>
      <c r="J299" s="11"/>
    </row>
    <row r="300" spans="9:10" x14ac:dyDescent="0.25">
      <c r="I300" s="11"/>
      <c r="J300" s="11"/>
    </row>
    <row r="301" spans="9:10" x14ac:dyDescent="0.25">
      <c r="I301" s="11"/>
      <c r="J301" s="11"/>
    </row>
    <row r="302" spans="9:10" x14ac:dyDescent="0.25">
      <c r="I302" s="11"/>
      <c r="J302" s="11"/>
    </row>
    <row r="303" spans="9:10" x14ac:dyDescent="0.25">
      <c r="I303" s="11"/>
      <c r="J303" s="11"/>
    </row>
    <row r="304" spans="9:10" x14ac:dyDescent="0.25">
      <c r="I304" s="11"/>
      <c r="J304" s="11"/>
    </row>
    <row r="305" spans="9:10" x14ac:dyDescent="0.25">
      <c r="I305" s="11"/>
      <c r="J305" s="11"/>
    </row>
    <row r="306" spans="9:10" x14ac:dyDescent="0.25">
      <c r="I306" s="11"/>
      <c r="J306" s="11"/>
    </row>
    <row r="307" spans="9:10" x14ac:dyDescent="0.25">
      <c r="I307" s="11"/>
      <c r="J307" s="11"/>
    </row>
    <row r="308" spans="9:10" x14ac:dyDescent="0.25">
      <c r="I308" s="11"/>
      <c r="J308" s="11"/>
    </row>
    <row r="309" spans="9:10" x14ac:dyDescent="0.25">
      <c r="I309" s="11"/>
      <c r="J309" s="11"/>
    </row>
    <row r="310" spans="9:10" x14ac:dyDescent="0.25">
      <c r="I310" s="11"/>
      <c r="J310" s="11"/>
    </row>
    <row r="311" spans="9:10" x14ac:dyDescent="0.25">
      <c r="I311" s="11"/>
      <c r="J311" s="11"/>
    </row>
    <row r="312" spans="9:10" x14ac:dyDescent="0.25">
      <c r="I312" s="11"/>
      <c r="J312" s="11"/>
    </row>
    <row r="313" spans="9:10" x14ac:dyDescent="0.25">
      <c r="I313" s="11"/>
      <c r="J313" s="11"/>
    </row>
    <row r="314" spans="9:10" x14ac:dyDescent="0.25">
      <c r="I314" s="11"/>
      <c r="J314" s="11"/>
    </row>
    <row r="315" spans="9:10" x14ac:dyDescent="0.25">
      <c r="I315" s="11"/>
      <c r="J315" s="11"/>
    </row>
    <row r="316" spans="9:10" x14ac:dyDescent="0.25">
      <c r="I316" s="11"/>
      <c r="J316" s="11"/>
    </row>
    <row r="317" spans="9:10" x14ac:dyDescent="0.25">
      <c r="I317" s="11"/>
      <c r="J317" s="11"/>
    </row>
    <row r="318" spans="9:10" x14ac:dyDescent="0.25">
      <c r="I318" s="11"/>
      <c r="J318" s="11"/>
    </row>
    <row r="319" spans="9:10" x14ac:dyDescent="0.25">
      <c r="I319" s="11"/>
      <c r="J319" s="11"/>
    </row>
    <row r="320" spans="9:10" x14ac:dyDescent="0.25">
      <c r="I320" s="11"/>
      <c r="J320" s="11"/>
    </row>
    <row r="321" spans="9:10" x14ac:dyDescent="0.25">
      <c r="I321" s="11"/>
      <c r="J321" s="11"/>
    </row>
    <row r="322" spans="9:10" x14ac:dyDescent="0.25">
      <c r="I322" s="11"/>
      <c r="J322" s="11"/>
    </row>
    <row r="323" spans="9:10" x14ac:dyDescent="0.25">
      <c r="I323" s="11"/>
      <c r="J323" s="11"/>
    </row>
    <row r="324" spans="9:10" x14ac:dyDescent="0.25">
      <c r="I324" s="11"/>
      <c r="J324" s="11"/>
    </row>
    <row r="325" spans="9:10" x14ac:dyDescent="0.25">
      <c r="I325" s="11"/>
      <c r="J325" s="11"/>
    </row>
    <row r="326" spans="9:10" x14ac:dyDescent="0.25">
      <c r="I326" s="11"/>
      <c r="J326" s="11"/>
    </row>
    <row r="327" spans="9:10" x14ac:dyDescent="0.25">
      <c r="I327" s="11"/>
      <c r="J327" s="11"/>
    </row>
    <row r="328" spans="9:10" x14ac:dyDescent="0.25">
      <c r="I328" s="11"/>
      <c r="J328" s="11"/>
    </row>
    <row r="329" spans="9:10" x14ac:dyDescent="0.25">
      <c r="I329" s="11"/>
      <c r="J329" s="11"/>
    </row>
    <row r="330" spans="9:10" x14ac:dyDescent="0.25">
      <c r="I330" s="11"/>
      <c r="J330" s="11"/>
    </row>
    <row r="331" spans="9:10" x14ac:dyDescent="0.25">
      <c r="I331" s="11"/>
      <c r="J331" s="11"/>
    </row>
    <row r="332" spans="9:10" x14ac:dyDescent="0.25">
      <c r="I332" s="11"/>
      <c r="J332" s="11"/>
    </row>
    <row r="333" spans="9:10" x14ac:dyDescent="0.25">
      <c r="I333" s="11"/>
      <c r="J333" s="11"/>
    </row>
    <row r="334" spans="9:10" x14ac:dyDescent="0.25">
      <c r="I334" s="11"/>
      <c r="J334" s="11"/>
    </row>
    <row r="335" spans="9:10" x14ac:dyDescent="0.25">
      <c r="I335" s="11"/>
      <c r="J335" s="11"/>
    </row>
    <row r="336" spans="9:10" x14ac:dyDescent="0.25">
      <c r="I336" s="11"/>
      <c r="J336" s="11"/>
    </row>
    <row r="337" spans="9:10" x14ac:dyDescent="0.25">
      <c r="I337" s="11"/>
      <c r="J337" s="11"/>
    </row>
    <row r="338" spans="9:10" x14ac:dyDescent="0.25">
      <c r="I338" s="11"/>
      <c r="J338" s="11"/>
    </row>
    <row r="339" spans="9:10" x14ac:dyDescent="0.25">
      <c r="I339" s="11"/>
      <c r="J339" s="11"/>
    </row>
    <row r="340" spans="9:10" x14ac:dyDescent="0.25">
      <c r="I340" s="11"/>
      <c r="J340" s="11"/>
    </row>
    <row r="341" spans="9:10" x14ac:dyDescent="0.25">
      <c r="I341" s="11"/>
      <c r="J341" s="11"/>
    </row>
    <row r="342" spans="9:10" x14ac:dyDescent="0.25">
      <c r="I342" s="11"/>
      <c r="J342" s="11"/>
    </row>
    <row r="343" spans="9:10" x14ac:dyDescent="0.25">
      <c r="I343" s="11"/>
      <c r="J343" s="11"/>
    </row>
    <row r="344" spans="9:10" x14ac:dyDescent="0.25">
      <c r="I344" s="11"/>
      <c r="J344" s="11"/>
    </row>
    <row r="345" spans="9:10" x14ac:dyDescent="0.25">
      <c r="I345" s="11"/>
      <c r="J345" s="11"/>
    </row>
    <row r="346" spans="9:10" x14ac:dyDescent="0.25">
      <c r="I346" s="11"/>
      <c r="J346" s="11"/>
    </row>
    <row r="347" spans="9:10" x14ac:dyDescent="0.25">
      <c r="I347" s="11"/>
      <c r="J347" s="11"/>
    </row>
    <row r="348" spans="9:10" x14ac:dyDescent="0.25">
      <c r="I348" s="11"/>
      <c r="J348" s="11"/>
    </row>
    <row r="349" spans="9:10" x14ac:dyDescent="0.25">
      <c r="I349" s="11"/>
      <c r="J349" s="11"/>
    </row>
    <row r="350" spans="9:10" x14ac:dyDescent="0.25">
      <c r="I350" s="11"/>
      <c r="J350" s="11"/>
    </row>
    <row r="351" spans="9:10" x14ac:dyDescent="0.25">
      <c r="I351" s="11"/>
      <c r="J351" s="11"/>
    </row>
    <row r="352" spans="9:10" x14ac:dyDescent="0.25">
      <c r="I352" s="11"/>
      <c r="J352" s="11"/>
    </row>
    <row r="353" spans="9:10" x14ac:dyDescent="0.25">
      <c r="I353" s="11"/>
      <c r="J353" s="11"/>
    </row>
    <row r="354" spans="9:10" x14ac:dyDescent="0.25">
      <c r="I354" s="11"/>
      <c r="J354" s="11"/>
    </row>
    <row r="355" spans="9:10" x14ac:dyDescent="0.25">
      <c r="I355" s="11"/>
      <c r="J355" s="11"/>
    </row>
    <row r="356" spans="9:10" x14ac:dyDescent="0.25">
      <c r="I356" s="11"/>
      <c r="J356" s="11"/>
    </row>
    <row r="357" spans="9:10" x14ac:dyDescent="0.25">
      <c r="I357" s="11"/>
      <c r="J357" s="11"/>
    </row>
    <row r="358" spans="9:10" x14ac:dyDescent="0.25">
      <c r="I358" s="11"/>
      <c r="J358" s="11"/>
    </row>
    <row r="359" spans="9:10" x14ac:dyDescent="0.25">
      <c r="I359" s="11"/>
      <c r="J359" s="11"/>
    </row>
    <row r="360" spans="9:10" x14ac:dyDescent="0.25">
      <c r="I360" s="11"/>
      <c r="J360" s="11"/>
    </row>
    <row r="361" spans="9:10" x14ac:dyDescent="0.25">
      <c r="I361" s="11"/>
      <c r="J361" s="11"/>
    </row>
    <row r="362" spans="9:10" x14ac:dyDescent="0.25">
      <c r="I362" s="11"/>
      <c r="J362" s="11"/>
    </row>
    <row r="363" spans="9:10" x14ac:dyDescent="0.25">
      <c r="I363" s="11"/>
      <c r="J363" s="11"/>
    </row>
    <row r="364" spans="9:10" x14ac:dyDescent="0.25">
      <c r="I364" s="11"/>
      <c r="J364" s="11"/>
    </row>
    <row r="365" spans="9:10" x14ac:dyDescent="0.25">
      <c r="I365" s="11"/>
      <c r="J365" s="11"/>
    </row>
    <row r="366" spans="9:10" x14ac:dyDescent="0.25">
      <c r="I366" s="11"/>
      <c r="J366" s="11"/>
    </row>
    <row r="367" spans="9:10" x14ac:dyDescent="0.25">
      <c r="I367" s="11"/>
      <c r="J367" s="11"/>
    </row>
    <row r="368" spans="9:10" x14ac:dyDescent="0.25">
      <c r="I368" s="11"/>
      <c r="J368" s="11"/>
    </row>
    <row r="369" spans="9:10" x14ac:dyDescent="0.25">
      <c r="I369" s="11"/>
      <c r="J369" s="11"/>
    </row>
    <row r="370" spans="9:10" x14ac:dyDescent="0.25">
      <c r="I370" s="11"/>
      <c r="J370" s="11"/>
    </row>
    <row r="371" spans="9:10" x14ac:dyDescent="0.25">
      <c r="I371" s="11"/>
      <c r="J371" s="11"/>
    </row>
    <row r="372" spans="9:10" x14ac:dyDescent="0.25">
      <c r="I372" s="11"/>
      <c r="J372" s="11"/>
    </row>
    <row r="373" spans="9:10" x14ac:dyDescent="0.25">
      <c r="I373" s="11"/>
      <c r="J373" s="11"/>
    </row>
    <row r="374" spans="9:10" x14ac:dyDescent="0.25">
      <c r="I374" s="11"/>
      <c r="J374" s="11"/>
    </row>
    <row r="375" spans="9:10" x14ac:dyDescent="0.25">
      <c r="I375" s="11"/>
      <c r="J375" s="11"/>
    </row>
    <row r="376" spans="9:10" x14ac:dyDescent="0.25">
      <c r="I376" s="11"/>
      <c r="J376" s="11"/>
    </row>
    <row r="377" spans="9:10" x14ac:dyDescent="0.25">
      <c r="I377" s="11"/>
      <c r="J377" s="11"/>
    </row>
    <row r="378" spans="9:10" x14ac:dyDescent="0.25">
      <c r="I378" s="11"/>
      <c r="J378" s="11"/>
    </row>
    <row r="379" spans="9:10" x14ac:dyDescent="0.25">
      <c r="I379" s="11"/>
      <c r="J379" s="11"/>
    </row>
    <row r="380" spans="9:10" x14ac:dyDescent="0.25">
      <c r="I380" s="11"/>
      <c r="J380" s="11"/>
    </row>
    <row r="381" spans="9:10" x14ac:dyDescent="0.25">
      <c r="I381" s="11"/>
      <c r="J381" s="11"/>
    </row>
    <row r="382" spans="9:10" x14ac:dyDescent="0.25">
      <c r="I382" s="11"/>
      <c r="J382" s="11"/>
    </row>
    <row r="383" spans="9:10" x14ac:dyDescent="0.25">
      <c r="I383" s="11"/>
      <c r="J383" s="11"/>
    </row>
    <row r="384" spans="9:10" x14ac:dyDescent="0.25">
      <c r="I384" s="11"/>
      <c r="J384" s="11"/>
    </row>
    <row r="385" spans="9:10" x14ac:dyDescent="0.25">
      <c r="I385" s="11"/>
      <c r="J385" s="11"/>
    </row>
    <row r="386" spans="9:10" x14ac:dyDescent="0.25">
      <c r="I386" s="11"/>
      <c r="J386" s="11"/>
    </row>
    <row r="387" spans="9:10" x14ac:dyDescent="0.25">
      <c r="I387" s="11"/>
      <c r="J387" s="11"/>
    </row>
    <row r="388" spans="9:10" x14ac:dyDescent="0.25">
      <c r="I388" s="11"/>
      <c r="J388" s="11"/>
    </row>
    <row r="389" spans="9:10" x14ac:dyDescent="0.25">
      <c r="I389" s="11"/>
      <c r="J389" s="11"/>
    </row>
    <row r="390" spans="9:10" x14ac:dyDescent="0.25">
      <c r="I390" s="11"/>
      <c r="J390" s="11"/>
    </row>
    <row r="391" spans="9:10" x14ac:dyDescent="0.25">
      <c r="I391" s="11"/>
      <c r="J391" s="11"/>
    </row>
    <row r="392" spans="9:10" x14ac:dyDescent="0.25">
      <c r="I392" s="11"/>
      <c r="J392" s="11"/>
    </row>
    <row r="393" spans="9:10" x14ac:dyDescent="0.25">
      <c r="I393" s="11"/>
      <c r="J393" s="11"/>
    </row>
    <row r="394" spans="9:10" x14ac:dyDescent="0.25">
      <c r="I394" s="11"/>
      <c r="J394" s="11"/>
    </row>
    <row r="395" spans="9:10" x14ac:dyDescent="0.25">
      <c r="I395" s="11"/>
      <c r="J395" s="11"/>
    </row>
    <row r="396" spans="9:10" x14ac:dyDescent="0.25">
      <c r="I396" s="11"/>
      <c r="J396" s="11"/>
    </row>
    <row r="397" spans="9:10" x14ac:dyDescent="0.25">
      <c r="I397" s="11"/>
      <c r="J397" s="11"/>
    </row>
    <row r="398" spans="9:10" x14ac:dyDescent="0.25">
      <c r="I398" s="11"/>
      <c r="J398" s="11"/>
    </row>
    <row r="399" spans="9:10" x14ac:dyDescent="0.25">
      <c r="I399" s="11"/>
      <c r="J399" s="11"/>
    </row>
    <row r="400" spans="9:10" x14ac:dyDescent="0.25">
      <c r="I400" s="11"/>
      <c r="J400" s="11"/>
    </row>
    <row r="401" spans="9:10" x14ac:dyDescent="0.25">
      <c r="I401" s="11"/>
      <c r="J401" s="11"/>
    </row>
    <row r="402" spans="9:10" x14ac:dyDescent="0.25">
      <c r="I402" s="11"/>
      <c r="J402" s="11"/>
    </row>
    <row r="403" spans="9:10" x14ac:dyDescent="0.25">
      <c r="I403" s="11"/>
      <c r="J403" s="11"/>
    </row>
    <row r="404" spans="9:10" x14ac:dyDescent="0.25">
      <c r="I404" s="11"/>
      <c r="J404" s="11"/>
    </row>
    <row r="405" spans="9:10" x14ac:dyDescent="0.25">
      <c r="I405" s="11"/>
      <c r="J405" s="11"/>
    </row>
    <row r="406" spans="9:10" x14ac:dyDescent="0.25">
      <c r="I406" s="11"/>
      <c r="J406" s="11"/>
    </row>
    <row r="407" spans="9:10" x14ac:dyDescent="0.25">
      <c r="I407" s="11"/>
      <c r="J407" s="11"/>
    </row>
    <row r="408" spans="9:10" x14ac:dyDescent="0.25">
      <c r="I408" s="11"/>
      <c r="J408" s="11"/>
    </row>
    <row r="409" spans="9:10" x14ac:dyDescent="0.25">
      <c r="I409" s="11"/>
      <c r="J409" s="11"/>
    </row>
    <row r="410" spans="9:10" x14ac:dyDescent="0.25">
      <c r="I410" s="11"/>
      <c r="J410" s="11"/>
    </row>
    <row r="411" spans="9:10" x14ac:dyDescent="0.25">
      <c r="I411" s="11"/>
      <c r="J411" s="11"/>
    </row>
    <row r="412" spans="9:10" x14ac:dyDescent="0.25">
      <c r="I412" s="11"/>
      <c r="J412" s="11"/>
    </row>
    <row r="413" spans="9:10" x14ac:dyDescent="0.25">
      <c r="I413" s="11"/>
      <c r="J413" s="11"/>
    </row>
    <row r="414" spans="9:10" x14ac:dyDescent="0.25">
      <c r="I414" s="11"/>
      <c r="J414" s="11"/>
    </row>
    <row r="415" spans="9:10" x14ac:dyDescent="0.25">
      <c r="I415" s="11"/>
      <c r="J415" s="11"/>
    </row>
    <row r="416" spans="9:10" x14ac:dyDescent="0.25">
      <c r="I416" s="11"/>
      <c r="J416" s="11"/>
    </row>
    <row r="417" spans="9:10" x14ac:dyDescent="0.25">
      <c r="I417" s="11"/>
      <c r="J417" s="11"/>
    </row>
    <row r="418" spans="9:10" x14ac:dyDescent="0.25">
      <c r="I418" s="11"/>
      <c r="J418" s="11"/>
    </row>
    <row r="419" spans="9:10" x14ac:dyDescent="0.25">
      <c r="I419" s="11"/>
      <c r="J419" s="11"/>
    </row>
    <row r="420" spans="9:10" x14ac:dyDescent="0.25">
      <c r="I420" s="11"/>
      <c r="J420" s="11"/>
    </row>
    <row r="421" spans="9:10" x14ac:dyDescent="0.25">
      <c r="I421" s="11"/>
      <c r="J421" s="11"/>
    </row>
    <row r="422" spans="9:10" x14ac:dyDescent="0.25">
      <c r="I422" s="11"/>
      <c r="J422" s="11"/>
    </row>
    <row r="423" spans="9:10" x14ac:dyDescent="0.25">
      <c r="I423" s="11"/>
      <c r="J423" s="11"/>
    </row>
    <row r="424" spans="9:10" x14ac:dyDescent="0.25">
      <c r="I424" s="11"/>
      <c r="J424" s="11"/>
    </row>
    <row r="425" spans="9:10" x14ac:dyDescent="0.25">
      <c r="I425" s="11"/>
      <c r="J425" s="11"/>
    </row>
    <row r="426" spans="9:10" x14ac:dyDescent="0.25">
      <c r="I426" s="11"/>
      <c r="J426" s="11"/>
    </row>
    <row r="427" spans="9:10" x14ac:dyDescent="0.25">
      <c r="I427" s="11"/>
      <c r="J427" s="11"/>
    </row>
    <row r="428" spans="9:10" x14ac:dyDescent="0.25">
      <c r="I428" s="11"/>
      <c r="J428" s="11"/>
    </row>
    <row r="429" spans="9:10" x14ac:dyDescent="0.25">
      <c r="I429" s="11"/>
      <c r="J429" s="11"/>
    </row>
    <row r="430" spans="9:10" x14ac:dyDescent="0.25">
      <c r="I430" s="11"/>
      <c r="J430" s="11"/>
    </row>
    <row r="431" spans="9:10" x14ac:dyDescent="0.25">
      <c r="I431" s="11"/>
      <c r="J431" s="11"/>
    </row>
    <row r="432" spans="9:10" x14ac:dyDescent="0.25">
      <c r="I432" s="11"/>
      <c r="J432" s="11"/>
    </row>
    <row r="433" spans="9:10" x14ac:dyDescent="0.25">
      <c r="I433" s="11"/>
      <c r="J433" s="11"/>
    </row>
    <row r="434" spans="9:10" x14ac:dyDescent="0.25">
      <c r="I434" s="11"/>
      <c r="J434" s="11"/>
    </row>
    <row r="435" spans="9:10" x14ac:dyDescent="0.25">
      <c r="I435" s="11"/>
      <c r="J435" s="11"/>
    </row>
    <row r="436" spans="9:10" x14ac:dyDescent="0.25">
      <c r="I436" s="11"/>
      <c r="J436" s="11"/>
    </row>
    <row r="437" spans="9:10" x14ac:dyDescent="0.25">
      <c r="I437" s="11"/>
      <c r="J437" s="11"/>
    </row>
    <row r="438" spans="9:10" x14ac:dyDescent="0.25">
      <c r="I438" s="11"/>
      <c r="J438" s="11"/>
    </row>
    <row r="439" spans="9:10" x14ac:dyDescent="0.25">
      <c r="I439" s="11"/>
      <c r="J439" s="11"/>
    </row>
    <row r="440" spans="9:10" x14ac:dyDescent="0.25">
      <c r="I440" s="11"/>
      <c r="J440" s="11"/>
    </row>
    <row r="441" spans="9:10" x14ac:dyDescent="0.25">
      <c r="I441" s="11"/>
      <c r="J441" s="11"/>
    </row>
    <row r="442" spans="9:10" x14ac:dyDescent="0.25">
      <c r="I442" s="11"/>
      <c r="J442" s="11"/>
    </row>
    <row r="443" spans="9:10" x14ac:dyDescent="0.25">
      <c r="I443" s="11"/>
      <c r="J443" s="11"/>
    </row>
    <row r="444" spans="9:10" x14ac:dyDescent="0.25">
      <c r="I444" s="11"/>
      <c r="J444" s="11"/>
    </row>
    <row r="445" spans="9:10" x14ac:dyDescent="0.25">
      <c r="I445" s="11"/>
      <c r="J445" s="11"/>
    </row>
    <row r="446" spans="9:10" x14ac:dyDescent="0.25">
      <c r="I446" s="11"/>
      <c r="J446" s="11"/>
    </row>
    <row r="447" spans="9:10" x14ac:dyDescent="0.25">
      <c r="I447" s="11"/>
      <c r="J447" s="11"/>
    </row>
    <row r="448" spans="9:10" x14ac:dyDescent="0.25">
      <c r="I448" s="11"/>
      <c r="J448" s="11"/>
    </row>
    <row r="449" spans="9:10" x14ac:dyDescent="0.25">
      <c r="I449" s="11"/>
      <c r="J449" s="11"/>
    </row>
    <row r="450" spans="9:10" x14ac:dyDescent="0.25">
      <c r="I450" s="11"/>
      <c r="J450" s="11"/>
    </row>
    <row r="451" spans="9:10" x14ac:dyDescent="0.25">
      <c r="I451" s="11"/>
      <c r="J451" s="11"/>
    </row>
    <row r="452" spans="9:10" x14ac:dyDescent="0.25">
      <c r="I452" s="11"/>
      <c r="J452" s="11"/>
    </row>
    <row r="453" spans="9:10" x14ac:dyDescent="0.25">
      <c r="I453" s="11"/>
      <c r="J453" s="11"/>
    </row>
    <row r="454" spans="9:10" x14ac:dyDescent="0.25">
      <c r="I454" s="11"/>
      <c r="J454" s="11"/>
    </row>
    <row r="455" spans="9:10" x14ac:dyDescent="0.25">
      <c r="I455" s="11"/>
      <c r="J455" s="11"/>
    </row>
    <row r="456" spans="9:10" x14ac:dyDescent="0.25">
      <c r="I456" s="11"/>
      <c r="J456" s="11"/>
    </row>
    <row r="457" spans="9:10" x14ac:dyDescent="0.25">
      <c r="I457" s="11"/>
      <c r="J457" s="11"/>
    </row>
    <row r="458" spans="9:10" x14ac:dyDescent="0.25">
      <c r="I458" s="11"/>
      <c r="J458" s="11"/>
    </row>
    <row r="459" spans="9:10" x14ac:dyDescent="0.25">
      <c r="I459" s="11"/>
      <c r="J459" s="11"/>
    </row>
    <row r="460" spans="9:10" x14ac:dyDescent="0.25">
      <c r="I460" s="11"/>
      <c r="J460" s="11"/>
    </row>
    <row r="461" spans="9:10" x14ac:dyDescent="0.25">
      <c r="I461" s="11"/>
      <c r="J461" s="11"/>
    </row>
    <row r="462" spans="9:10" x14ac:dyDescent="0.25">
      <c r="I462" s="11"/>
      <c r="J462" s="11"/>
    </row>
    <row r="463" spans="9:10" x14ac:dyDescent="0.25">
      <c r="I463" s="11"/>
      <c r="J463" s="11"/>
    </row>
    <row r="464" spans="9:10" x14ac:dyDescent="0.25">
      <c r="I464" s="11"/>
      <c r="J464" s="11"/>
    </row>
    <row r="465" spans="9:10" x14ac:dyDescent="0.25">
      <c r="I465" s="11"/>
      <c r="J465" s="11"/>
    </row>
    <row r="466" spans="9:10" x14ac:dyDescent="0.25">
      <c r="I466" s="11"/>
      <c r="J466" s="11"/>
    </row>
    <row r="467" spans="9:10" x14ac:dyDescent="0.25">
      <c r="I467" s="11"/>
      <c r="J467" s="11"/>
    </row>
    <row r="468" spans="9:10" x14ac:dyDescent="0.25">
      <c r="I468" s="11"/>
      <c r="J468" s="11"/>
    </row>
    <row r="469" spans="9:10" x14ac:dyDescent="0.25">
      <c r="I469" s="11"/>
      <c r="J469" s="11"/>
    </row>
    <row r="470" spans="9:10" x14ac:dyDescent="0.25">
      <c r="I470" s="11"/>
      <c r="J470" s="11"/>
    </row>
    <row r="471" spans="9:10" x14ac:dyDescent="0.25">
      <c r="I471" s="11"/>
      <c r="J471" s="11"/>
    </row>
    <row r="472" spans="9:10" x14ac:dyDescent="0.25">
      <c r="I472" s="11"/>
      <c r="J472" s="11"/>
    </row>
    <row r="473" spans="9:10" x14ac:dyDescent="0.25">
      <c r="I473" s="11"/>
      <c r="J473" s="11"/>
    </row>
    <row r="474" spans="9:10" x14ac:dyDescent="0.25">
      <c r="I474" s="11"/>
      <c r="J474" s="11"/>
    </row>
    <row r="475" spans="9:10" x14ac:dyDescent="0.25">
      <c r="I475" s="11"/>
      <c r="J475" s="11"/>
    </row>
    <row r="476" spans="9:10" x14ac:dyDescent="0.25">
      <c r="I476" s="11"/>
      <c r="J476" s="11"/>
    </row>
    <row r="477" spans="9:10" x14ac:dyDescent="0.25">
      <c r="I477" s="11"/>
      <c r="J477" s="11"/>
    </row>
    <row r="478" spans="9:10" x14ac:dyDescent="0.25">
      <c r="I478" s="11"/>
      <c r="J478" s="11"/>
    </row>
    <row r="479" spans="9:10" x14ac:dyDescent="0.25">
      <c r="I479" s="11"/>
      <c r="J479" s="11"/>
    </row>
    <row r="480" spans="9:10" x14ac:dyDescent="0.25">
      <c r="I480" s="11"/>
      <c r="J480" s="11"/>
    </row>
    <row r="481" spans="9:10" x14ac:dyDescent="0.25">
      <c r="I481" s="11"/>
      <c r="J481" s="11"/>
    </row>
    <row r="482" spans="9:10" x14ac:dyDescent="0.25">
      <c r="I482" s="11"/>
      <c r="J482" s="11"/>
    </row>
    <row r="483" spans="9:10" x14ac:dyDescent="0.25">
      <c r="I483" s="11"/>
      <c r="J483" s="11"/>
    </row>
    <row r="484" spans="9:10" x14ac:dyDescent="0.25">
      <c r="I484" s="11"/>
      <c r="J484" s="11"/>
    </row>
    <row r="485" spans="9:10" x14ac:dyDescent="0.25">
      <c r="I485" s="11"/>
      <c r="J485" s="11"/>
    </row>
    <row r="486" spans="9:10" x14ac:dyDescent="0.25">
      <c r="I486" s="11"/>
      <c r="J486" s="11"/>
    </row>
    <row r="487" spans="9:10" x14ac:dyDescent="0.25">
      <c r="I487" s="11"/>
      <c r="J487" s="11"/>
    </row>
    <row r="488" spans="9:10" x14ac:dyDescent="0.25">
      <c r="I488" s="11"/>
      <c r="J488" s="11"/>
    </row>
    <row r="489" spans="9:10" x14ac:dyDescent="0.25">
      <c r="I489" s="11"/>
      <c r="J489" s="11"/>
    </row>
    <row r="490" spans="9:10" x14ac:dyDescent="0.25">
      <c r="I490" s="11"/>
      <c r="J490" s="11"/>
    </row>
    <row r="491" spans="9:10" x14ac:dyDescent="0.25">
      <c r="I491" s="11"/>
      <c r="J491" s="11"/>
    </row>
    <row r="492" spans="9:10" x14ac:dyDescent="0.25">
      <c r="I492" s="11"/>
      <c r="J492" s="11"/>
    </row>
    <row r="493" spans="9:10" x14ac:dyDescent="0.25">
      <c r="I493" s="11"/>
      <c r="J493" s="11"/>
    </row>
    <row r="494" spans="9:10" x14ac:dyDescent="0.25">
      <c r="I494" s="11"/>
      <c r="J494" s="11"/>
    </row>
    <row r="495" spans="9:10" x14ac:dyDescent="0.25">
      <c r="I495" s="11"/>
      <c r="J495" s="11"/>
    </row>
    <row r="496" spans="9:10" x14ac:dyDescent="0.25">
      <c r="I496" s="11"/>
      <c r="J496" s="11"/>
    </row>
    <row r="497" spans="9:10" x14ac:dyDescent="0.25">
      <c r="I497" s="11"/>
      <c r="J497" s="11"/>
    </row>
    <row r="498" spans="9:10" x14ac:dyDescent="0.25">
      <c r="I498" s="11"/>
      <c r="J498" s="11"/>
    </row>
    <row r="499" spans="9:10" x14ac:dyDescent="0.25">
      <c r="I499" s="11"/>
      <c r="J499" s="11"/>
    </row>
    <row r="500" spans="9:10" x14ac:dyDescent="0.25">
      <c r="I500" s="11"/>
      <c r="J500" s="11"/>
    </row>
    <row r="501" spans="9:10" x14ac:dyDescent="0.25">
      <c r="I501" s="11"/>
      <c r="J501" s="11"/>
    </row>
    <row r="502" spans="9:10" x14ac:dyDescent="0.25">
      <c r="I502" s="11"/>
      <c r="J502" s="11"/>
    </row>
    <row r="503" spans="9:10" x14ac:dyDescent="0.25">
      <c r="I503" s="11"/>
      <c r="J503" s="11"/>
    </row>
    <row r="504" spans="9:10" x14ac:dyDescent="0.25">
      <c r="I504" s="11"/>
      <c r="J504" s="11"/>
    </row>
    <row r="505" spans="9:10" x14ac:dyDescent="0.25">
      <c r="I505" s="11"/>
      <c r="J505" s="11"/>
    </row>
    <row r="506" spans="9:10" x14ac:dyDescent="0.25">
      <c r="I506" s="11"/>
      <c r="J506" s="11"/>
    </row>
    <row r="507" spans="9:10" x14ac:dyDescent="0.25">
      <c r="I507" s="11"/>
      <c r="J507" s="11"/>
    </row>
    <row r="508" spans="9:10" x14ac:dyDescent="0.25">
      <c r="I508" s="11"/>
      <c r="J508" s="11"/>
    </row>
    <row r="509" spans="9:10" x14ac:dyDescent="0.25">
      <c r="I509" s="11"/>
      <c r="J509" s="11"/>
    </row>
    <row r="510" spans="9:10" x14ac:dyDescent="0.25">
      <c r="I510" s="11"/>
      <c r="J510" s="11"/>
    </row>
    <row r="511" spans="9:10" x14ac:dyDescent="0.25">
      <c r="I511" s="11"/>
      <c r="J511" s="11"/>
    </row>
    <row r="512" spans="9:10" x14ac:dyDescent="0.25">
      <c r="I512" s="11"/>
      <c r="J512" s="11"/>
    </row>
    <row r="513" spans="9:10" x14ac:dyDescent="0.25">
      <c r="I513" s="11"/>
      <c r="J513" s="11"/>
    </row>
    <row r="514" spans="9:10" x14ac:dyDescent="0.25">
      <c r="I514" s="11"/>
      <c r="J514" s="11"/>
    </row>
    <row r="515" spans="9:10" x14ac:dyDescent="0.25">
      <c r="I515" s="11"/>
      <c r="J515" s="11"/>
    </row>
    <row r="516" spans="9:10" x14ac:dyDescent="0.25">
      <c r="I516" s="11"/>
      <c r="J516" s="11"/>
    </row>
    <row r="517" spans="9:10" x14ac:dyDescent="0.25">
      <c r="I517" s="11"/>
      <c r="J517" s="11"/>
    </row>
    <row r="518" spans="9:10" x14ac:dyDescent="0.25">
      <c r="I518" s="11"/>
      <c r="J518" s="11"/>
    </row>
    <row r="519" spans="9:10" x14ac:dyDescent="0.25">
      <c r="I519" s="11"/>
      <c r="J519" s="11"/>
    </row>
    <row r="520" spans="9:10" x14ac:dyDescent="0.25">
      <c r="I520" s="11"/>
      <c r="J520" s="11"/>
    </row>
    <row r="521" spans="9:10" x14ac:dyDescent="0.25">
      <c r="I521" s="11"/>
      <c r="J521" s="11"/>
    </row>
    <row r="522" spans="9:10" x14ac:dyDescent="0.25">
      <c r="I522" s="11"/>
      <c r="J522" s="11"/>
    </row>
    <row r="523" spans="9:10" x14ac:dyDescent="0.25">
      <c r="I523" s="11"/>
      <c r="J523" s="11"/>
    </row>
    <row r="524" spans="9:10" x14ac:dyDescent="0.25">
      <c r="I524" s="11"/>
      <c r="J524" s="11"/>
    </row>
    <row r="525" spans="9:10" x14ac:dyDescent="0.25">
      <c r="I525" s="11"/>
      <c r="J525" s="11"/>
    </row>
    <row r="526" spans="9:10" x14ac:dyDescent="0.25">
      <c r="I526" s="11"/>
      <c r="J526" s="11"/>
    </row>
    <row r="527" spans="9:10" x14ac:dyDescent="0.25">
      <c r="I527" s="11"/>
      <c r="J527" s="11"/>
    </row>
    <row r="528" spans="9:10" x14ac:dyDescent="0.25">
      <c r="I528" s="11"/>
      <c r="J528" s="11"/>
    </row>
    <row r="529" spans="9:10" x14ac:dyDescent="0.25">
      <c r="I529" s="11"/>
      <c r="J529" s="11"/>
    </row>
    <row r="530" spans="9:10" x14ac:dyDescent="0.25">
      <c r="I530" s="11"/>
      <c r="J530" s="11"/>
    </row>
    <row r="531" spans="9:10" x14ac:dyDescent="0.25">
      <c r="I531" s="11"/>
      <c r="J531" s="11"/>
    </row>
    <row r="532" spans="9:10" x14ac:dyDescent="0.25">
      <c r="I532" s="11"/>
      <c r="J532" s="11"/>
    </row>
    <row r="533" spans="9:10" x14ac:dyDescent="0.25">
      <c r="I533" s="11"/>
      <c r="J533" s="11"/>
    </row>
    <row r="534" spans="9:10" x14ac:dyDescent="0.25">
      <c r="I534" s="11"/>
      <c r="J534" s="11"/>
    </row>
    <row r="535" spans="9:10" x14ac:dyDescent="0.25">
      <c r="I535" s="11"/>
      <c r="J535" s="11"/>
    </row>
    <row r="536" spans="9:10" x14ac:dyDescent="0.25">
      <c r="I536" s="11"/>
      <c r="J536" s="11"/>
    </row>
    <row r="537" spans="9:10" x14ac:dyDescent="0.25">
      <c r="I537" s="11"/>
      <c r="J537" s="11"/>
    </row>
    <row r="538" spans="9:10" x14ac:dyDescent="0.25">
      <c r="I538" s="11"/>
      <c r="J538" s="11"/>
    </row>
    <row r="539" spans="9:10" x14ac:dyDescent="0.25">
      <c r="I539" s="11"/>
      <c r="J539" s="11"/>
    </row>
    <row r="540" spans="9:10" x14ac:dyDescent="0.25">
      <c r="I540" s="11"/>
      <c r="J540" s="11"/>
    </row>
    <row r="541" spans="9:10" x14ac:dyDescent="0.25">
      <c r="I541" s="11"/>
      <c r="J541" s="11"/>
    </row>
    <row r="542" spans="9:10" x14ac:dyDescent="0.25">
      <c r="I542" s="11"/>
      <c r="J542" s="11"/>
    </row>
    <row r="543" spans="9:10" x14ac:dyDescent="0.25">
      <c r="I543" s="11"/>
      <c r="J543" s="11"/>
    </row>
    <row r="544" spans="9:10" x14ac:dyDescent="0.25">
      <c r="I544" s="11"/>
      <c r="J544" s="11"/>
    </row>
    <row r="545" spans="9:10" x14ac:dyDescent="0.25">
      <c r="I545" s="11"/>
      <c r="J545" s="11"/>
    </row>
    <row r="546" spans="9:10" x14ac:dyDescent="0.25">
      <c r="I546" s="11"/>
      <c r="J546" s="11"/>
    </row>
    <row r="547" spans="9:10" x14ac:dyDescent="0.25">
      <c r="I547" s="11"/>
      <c r="J547" s="11"/>
    </row>
    <row r="548" spans="9:10" x14ac:dyDescent="0.25">
      <c r="I548" s="11"/>
      <c r="J548" s="11"/>
    </row>
    <row r="549" spans="9:10" x14ac:dyDescent="0.25">
      <c r="I549" s="11"/>
      <c r="J549" s="11"/>
    </row>
    <row r="550" spans="9:10" x14ac:dyDescent="0.25">
      <c r="I550" s="11"/>
      <c r="J550" s="11"/>
    </row>
    <row r="551" spans="9:10" x14ac:dyDescent="0.25">
      <c r="I551" s="11"/>
      <c r="J551" s="11"/>
    </row>
    <row r="552" spans="9:10" x14ac:dyDescent="0.25">
      <c r="I552" s="11"/>
      <c r="J552" s="11"/>
    </row>
    <row r="553" spans="9:10" x14ac:dyDescent="0.25">
      <c r="I553" s="11"/>
      <c r="J553" s="11"/>
    </row>
    <row r="554" spans="9:10" x14ac:dyDescent="0.25">
      <c r="I554" s="11"/>
      <c r="J554" s="11"/>
    </row>
    <row r="555" spans="9:10" x14ac:dyDescent="0.25">
      <c r="I555" s="11"/>
      <c r="J555" s="11"/>
    </row>
    <row r="556" spans="9:10" x14ac:dyDescent="0.25">
      <c r="I556" s="11"/>
      <c r="J556" s="11"/>
    </row>
    <row r="557" spans="9:10" x14ac:dyDescent="0.25">
      <c r="I557" s="11"/>
      <c r="J557" s="11"/>
    </row>
    <row r="558" spans="9:10" x14ac:dyDescent="0.25">
      <c r="I558" s="11"/>
      <c r="J558" s="11"/>
    </row>
    <row r="559" spans="9:10" x14ac:dyDescent="0.25">
      <c r="I559" s="11"/>
      <c r="J559" s="11"/>
    </row>
    <row r="560" spans="9:10" x14ac:dyDescent="0.25">
      <c r="I560" s="11"/>
      <c r="J560" s="11"/>
    </row>
    <row r="561" spans="9:10" x14ac:dyDescent="0.25">
      <c r="I561" s="11"/>
      <c r="J561" s="11"/>
    </row>
    <row r="562" spans="9:10" x14ac:dyDescent="0.25">
      <c r="I562" s="11"/>
      <c r="J562" s="11"/>
    </row>
    <row r="563" spans="9:10" x14ac:dyDescent="0.25">
      <c r="I563" s="11"/>
      <c r="J563" s="11"/>
    </row>
    <row r="564" spans="9:10" x14ac:dyDescent="0.25">
      <c r="I564" s="11"/>
      <c r="J564" s="11"/>
    </row>
    <row r="565" spans="9:10" x14ac:dyDescent="0.25">
      <c r="I565" s="11"/>
      <c r="J565" s="11"/>
    </row>
    <row r="566" spans="9:10" x14ac:dyDescent="0.25">
      <c r="I566" s="11"/>
      <c r="J566" s="11"/>
    </row>
    <row r="567" spans="9:10" x14ac:dyDescent="0.25">
      <c r="I567" s="11"/>
      <c r="J567" s="11"/>
    </row>
    <row r="568" spans="9:10" x14ac:dyDescent="0.25">
      <c r="I568" s="11"/>
      <c r="J568" s="11"/>
    </row>
    <row r="569" spans="9:10" x14ac:dyDescent="0.25">
      <c r="I569" s="11"/>
      <c r="J569" s="11"/>
    </row>
    <row r="570" spans="9:10" x14ac:dyDescent="0.25">
      <c r="I570" s="11"/>
      <c r="J570" s="11"/>
    </row>
    <row r="571" spans="9:10" x14ac:dyDescent="0.25">
      <c r="I571" s="11"/>
      <c r="J571" s="11"/>
    </row>
    <row r="572" spans="9:10" x14ac:dyDescent="0.25">
      <c r="I572" s="11"/>
      <c r="J572" s="11"/>
    </row>
    <row r="573" spans="9:10" x14ac:dyDescent="0.25">
      <c r="I573" s="11"/>
      <c r="J573" s="11"/>
    </row>
    <row r="574" spans="9:10" x14ac:dyDescent="0.25">
      <c r="I574" s="11"/>
      <c r="J574" s="11"/>
    </row>
    <row r="575" spans="9:10" x14ac:dyDescent="0.25">
      <c r="I575" s="11"/>
      <c r="J575" s="11"/>
    </row>
    <row r="576" spans="9:10" x14ac:dyDescent="0.25">
      <c r="I576" s="11"/>
      <c r="J576" s="11"/>
    </row>
    <row r="577" spans="9:10" x14ac:dyDescent="0.25">
      <c r="I577" s="11"/>
      <c r="J577" s="11"/>
    </row>
    <row r="578" spans="9:10" x14ac:dyDescent="0.25">
      <c r="I578" s="11"/>
      <c r="J578" s="11"/>
    </row>
    <row r="579" spans="9:10" x14ac:dyDescent="0.25">
      <c r="I579" s="11"/>
      <c r="J579" s="11"/>
    </row>
    <row r="580" spans="9:10" x14ac:dyDescent="0.25">
      <c r="I580" s="11"/>
      <c r="J580" s="11"/>
    </row>
    <row r="581" spans="9:10" x14ac:dyDescent="0.25">
      <c r="I581" s="11"/>
      <c r="J581" s="11"/>
    </row>
    <row r="582" spans="9:10" x14ac:dyDescent="0.25">
      <c r="I582" s="11"/>
      <c r="J582" s="11"/>
    </row>
    <row r="583" spans="9:10" x14ac:dyDescent="0.25">
      <c r="I583" s="11"/>
      <c r="J583" s="11"/>
    </row>
    <row r="584" spans="9:10" x14ac:dyDescent="0.25">
      <c r="I584" s="11"/>
      <c r="J584" s="11"/>
    </row>
    <row r="585" spans="9:10" x14ac:dyDescent="0.25">
      <c r="I585" s="11"/>
      <c r="J585" s="11"/>
    </row>
    <row r="586" spans="9:10" x14ac:dyDescent="0.25">
      <c r="I586" s="11"/>
      <c r="J586" s="11"/>
    </row>
    <row r="587" spans="9:10" x14ac:dyDescent="0.25">
      <c r="I587" s="11"/>
      <c r="J587" s="11"/>
    </row>
    <row r="588" spans="9:10" x14ac:dyDescent="0.25">
      <c r="I588" s="11"/>
      <c r="J588" s="11"/>
    </row>
    <row r="589" spans="9:10" x14ac:dyDescent="0.25">
      <c r="I589" s="11"/>
      <c r="J589" s="11"/>
    </row>
    <row r="590" spans="9:10" x14ac:dyDescent="0.25">
      <c r="I590" s="11"/>
      <c r="J590" s="11"/>
    </row>
    <row r="591" spans="9:10" x14ac:dyDescent="0.25">
      <c r="I591" s="11"/>
      <c r="J591" s="11"/>
    </row>
    <row r="592" spans="9:10" x14ac:dyDescent="0.25">
      <c r="I592" s="11"/>
      <c r="J592" s="11"/>
    </row>
    <row r="593" spans="9:10" x14ac:dyDescent="0.25">
      <c r="I593" s="11"/>
      <c r="J593" s="11"/>
    </row>
    <row r="594" spans="9:10" x14ac:dyDescent="0.25">
      <c r="I594" s="11"/>
      <c r="J594" s="11"/>
    </row>
    <row r="595" spans="9:10" x14ac:dyDescent="0.25">
      <c r="I595" s="11"/>
      <c r="J595" s="11"/>
    </row>
    <row r="596" spans="9:10" x14ac:dyDescent="0.25">
      <c r="I596" s="11"/>
      <c r="J596" s="11"/>
    </row>
    <row r="597" spans="9:10" x14ac:dyDescent="0.25">
      <c r="I597" s="11"/>
      <c r="J597" s="11"/>
    </row>
    <row r="598" spans="9:10" x14ac:dyDescent="0.25">
      <c r="I598" s="11"/>
      <c r="J598" s="11"/>
    </row>
    <row r="599" spans="9:10" x14ac:dyDescent="0.25">
      <c r="I599" s="11"/>
      <c r="J599" s="11"/>
    </row>
    <row r="600" spans="9:10" x14ac:dyDescent="0.25">
      <c r="I600" s="11"/>
      <c r="J600" s="11"/>
    </row>
    <row r="601" spans="9:10" x14ac:dyDescent="0.25">
      <c r="I601" s="11"/>
      <c r="J601" s="11"/>
    </row>
    <row r="602" spans="9:10" x14ac:dyDescent="0.25">
      <c r="I602" s="11"/>
      <c r="J602" s="11"/>
    </row>
    <row r="603" spans="9:10" x14ac:dyDescent="0.25">
      <c r="I603" s="11"/>
      <c r="J603" s="11"/>
    </row>
    <row r="604" spans="9:10" x14ac:dyDescent="0.25">
      <c r="I604" s="11"/>
      <c r="J604" s="11"/>
    </row>
    <row r="605" spans="9:10" x14ac:dyDescent="0.25">
      <c r="I605" s="11"/>
      <c r="J605" s="11"/>
    </row>
    <row r="606" spans="9:10" x14ac:dyDescent="0.25">
      <c r="I606" s="11"/>
      <c r="J606" s="11"/>
    </row>
    <row r="607" spans="9:10" x14ac:dyDescent="0.25">
      <c r="I607" s="11"/>
      <c r="J607" s="11"/>
    </row>
    <row r="608" spans="9:10" x14ac:dyDescent="0.25">
      <c r="I608" s="11"/>
      <c r="J608" s="11"/>
    </row>
    <row r="609" spans="9:10" x14ac:dyDescent="0.25">
      <c r="I609" s="11"/>
      <c r="J609" s="11"/>
    </row>
    <row r="610" spans="9:10" x14ac:dyDescent="0.25">
      <c r="I610" s="11"/>
      <c r="J610" s="11"/>
    </row>
    <row r="611" spans="9:10" x14ac:dyDescent="0.25">
      <c r="I611" s="11"/>
      <c r="J611" s="11"/>
    </row>
    <row r="612" spans="9:10" x14ac:dyDescent="0.25">
      <c r="I612" s="11"/>
      <c r="J612" s="11"/>
    </row>
    <row r="613" spans="9:10" x14ac:dyDescent="0.25">
      <c r="I613" s="11"/>
      <c r="J613" s="11"/>
    </row>
    <row r="614" spans="9:10" x14ac:dyDescent="0.25">
      <c r="I614" s="11"/>
      <c r="J614" s="11"/>
    </row>
    <row r="615" spans="9:10" x14ac:dyDescent="0.25">
      <c r="I615" s="11"/>
      <c r="J615" s="11"/>
    </row>
    <row r="616" spans="9:10" x14ac:dyDescent="0.25">
      <c r="I616" s="11"/>
      <c r="J616" s="11"/>
    </row>
    <row r="617" spans="9:10" x14ac:dyDescent="0.25">
      <c r="I617" s="11"/>
      <c r="J617" s="11"/>
    </row>
    <row r="618" spans="9:10" x14ac:dyDescent="0.25">
      <c r="I618" s="11"/>
      <c r="J618" s="11"/>
    </row>
    <row r="619" spans="9:10" x14ac:dyDescent="0.25">
      <c r="I619" s="11"/>
      <c r="J619" s="11"/>
    </row>
    <row r="620" spans="9:10" x14ac:dyDescent="0.25">
      <c r="I620" s="11"/>
      <c r="J620" s="11"/>
    </row>
    <row r="621" spans="9:10" x14ac:dyDescent="0.25">
      <c r="I621" s="11"/>
      <c r="J621" s="11"/>
    </row>
    <row r="622" spans="9:10" x14ac:dyDescent="0.25">
      <c r="I622" s="11"/>
      <c r="J622" s="11"/>
    </row>
    <row r="623" spans="9:10" x14ac:dyDescent="0.25">
      <c r="I623" s="11"/>
      <c r="J623" s="11"/>
    </row>
    <row r="624" spans="9:10" x14ac:dyDescent="0.25">
      <c r="I624" s="11"/>
      <c r="J624" s="11"/>
    </row>
    <row r="625" spans="9:10" x14ac:dyDescent="0.25">
      <c r="I625" s="11"/>
      <c r="J625" s="11"/>
    </row>
    <row r="626" spans="9:10" x14ac:dyDescent="0.25">
      <c r="I626" s="11"/>
      <c r="J626" s="11"/>
    </row>
    <row r="627" spans="9:10" x14ac:dyDescent="0.25">
      <c r="I627" s="11"/>
      <c r="J627" s="11"/>
    </row>
    <row r="628" spans="9:10" x14ac:dyDescent="0.25">
      <c r="I628" s="11"/>
      <c r="J628" s="11"/>
    </row>
    <row r="629" spans="9:10" x14ac:dyDescent="0.25">
      <c r="I629" s="11"/>
      <c r="J629" s="11"/>
    </row>
    <row r="630" spans="9:10" x14ac:dyDescent="0.25">
      <c r="I630" s="11"/>
      <c r="J630" s="11"/>
    </row>
    <row r="631" spans="9:10" x14ac:dyDescent="0.25">
      <c r="I631" s="11"/>
      <c r="J631" s="11"/>
    </row>
    <row r="632" spans="9:10" x14ac:dyDescent="0.25">
      <c r="I632" s="11"/>
      <c r="J632" s="11"/>
    </row>
    <row r="633" spans="9:10" x14ac:dyDescent="0.25">
      <c r="I633" s="11"/>
      <c r="J633" s="11"/>
    </row>
    <row r="634" spans="9:10" x14ac:dyDescent="0.25">
      <c r="I634" s="11"/>
      <c r="J634" s="11"/>
    </row>
    <row r="635" spans="9:10" x14ac:dyDescent="0.25">
      <c r="I635" s="11"/>
      <c r="J635" s="11"/>
    </row>
    <row r="636" spans="9:10" x14ac:dyDescent="0.25">
      <c r="I636" s="11"/>
      <c r="J636" s="11"/>
    </row>
    <row r="637" spans="9:10" x14ac:dyDescent="0.25">
      <c r="I637" s="11"/>
      <c r="J637" s="11"/>
    </row>
    <row r="638" spans="9:10" x14ac:dyDescent="0.25">
      <c r="I638" s="11"/>
      <c r="J638" s="11"/>
    </row>
    <row r="639" spans="9:10" x14ac:dyDescent="0.25">
      <c r="I639" s="11"/>
      <c r="J639" s="11"/>
    </row>
    <row r="640" spans="9:10" x14ac:dyDescent="0.25">
      <c r="I640" s="11"/>
      <c r="J640" s="11"/>
    </row>
    <row r="641" spans="9:10" x14ac:dyDescent="0.25">
      <c r="I641" s="11"/>
      <c r="J641" s="11"/>
    </row>
    <row r="642" spans="9:10" x14ac:dyDescent="0.25">
      <c r="I642" s="11"/>
      <c r="J642" s="11"/>
    </row>
    <row r="643" spans="9:10" x14ac:dyDescent="0.25">
      <c r="I643" s="11"/>
      <c r="J643" s="11"/>
    </row>
    <row r="644" spans="9:10" x14ac:dyDescent="0.25">
      <c r="I644" s="11"/>
      <c r="J644" s="11"/>
    </row>
    <row r="645" spans="9:10" x14ac:dyDescent="0.25">
      <c r="I645" s="11"/>
      <c r="J645" s="11"/>
    </row>
    <row r="646" spans="9:10" x14ac:dyDescent="0.25">
      <c r="I646" s="11"/>
      <c r="J646" s="11"/>
    </row>
    <row r="647" spans="9:10" x14ac:dyDescent="0.25">
      <c r="I647" s="11"/>
      <c r="J647" s="11"/>
    </row>
    <row r="648" spans="9:10" x14ac:dyDescent="0.25">
      <c r="I648" s="11"/>
      <c r="J648" s="11"/>
    </row>
    <row r="649" spans="9:10" x14ac:dyDescent="0.25">
      <c r="I649" s="11"/>
      <c r="J649" s="11"/>
    </row>
    <row r="650" spans="9:10" x14ac:dyDescent="0.25">
      <c r="I650" s="11"/>
      <c r="J650" s="11"/>
    </row>
    <row r="651" spans="9:10" x14ac:dyDescent="0.25">
      <c r="I651" s="11"/>
      <c r="J651" s="11"/>
    </row>
    <row r="652" spans="9:10" x14ac:dyDescent="0.25">
      <c r="I652" s="11"/>
      <c r="J652" s="11"/>
    </row>
    <row r="653" spans="9:10" x14ac:dyDescent="0.25">
      <c r="I653" s="11"/>
      <c r="J653" s="11"/>
    </row>
    <row r="654" spans="9:10" x14ac:dyDescent="0.25">
      <c r="I654" s="11"/>
      <c r="J654" s="11"/>
    </row>
    <row r="655" spans="9:10" x14ac:dyDescent="0.25">
      <c r="I655" s="11"/>
      <c r="J655" s="11"/>
    </row>
    <row r="656" spans="9:10" x14ac:dyDescent="0.25">
      <c r="I656" s="11"/>
      <c r="J656" s="11"/>
    </row>
    <row r="657" spans="9:10" x14ac:dyDescent="0.25">
      <c r="I657" s="11"/>
      <c r="J657" s="11"/>
    </row>
    <row r="658" spans="9:10" x14ac:dyDescent="0.25">
      <c r="I658" s="11"/>
      <c r="J658" s="11"/>
    </row>
    <row r="659" spans="9:10" x14ac:dyDescent="0.25">
      <c r="I659" s="11"/>
      <c r="J659" s="11"/>
    </row>
    <row r="660" spans="9:10" x14ac:dyDescent="0.25">
      <c r="I660" s="11"/>
      <c r="J660" s="11"/>
    </row>
    <row r="661" spans="9:10" x14ac:dyDescent="0.25">
      <c r="I661" s="11"/>
      <c r="J661" s="11"/>
    </row>
    <row r="662" spans="9:10" x14ac:dyDescent="0.25">
      <c r="I662" s="11"/>
      <c r="J662" s="11"/>
    </row>
    <row r="663" spans="9:10" x14ac:dyDescent="0.25">
      <c r="I663" s="11"/>
      <c r="J663" s="11"/>
    </row>
    <row r="664" spans="9:10" x14ac:dyDescent="0.25">
      <c r="I664" s="11"/>
      <c r="J664" s="11"/>
    </row>
    <row r="665" spans="9:10" x14ac:dyDescent="0.25">
      <c r="I665" s="11"/>
      <c r="J665" s="11"/>
    </row>
    <row r="666" spans="9:10" x14ac:dyDescent="0.25">
      <c r="I666" s="11"/>
      <c r="J666" s="11"/>
    </row>
    <row r="667" spans="9:10" x14ac:dyDescent="0.25">
      <c r="I667" s="11"/>
      <c r="J667" s="11"/>
    </row>
    <row r="668" spans="9:10" x14ac:dyDescent="0.25">
      <c r="I668" s="11"/>
      <c r="J668" s="11"/>
    </row>
    <row r="669" spans="9:10" x14ac:dyDescent="0.25">
      <c r="I669" s="11"/>
      <c r="J669" s="11"/>
    </row>
    <row r="670" spans="9:10" x14ac:dyDescent="0.25">
      <c r="I670" s="11"/>
      <c r="J670" s="11"/>
    </row>
    <row r="671" spans="9:10" x14ac:dyDescent="0.25">
      <c r="I671" s="11"/>
      <c r="J671" s="11"/>
    </row>
    <row r="672" spans="9:10" x14ac:dyDescent="0.25">
      <c r="I672" s="11"/>
      <c r="J672" s="11"/>
    </row>
    <row r="673" spans="9:10" x14ac:dyDescent="0.25">
      <c r="I673" s="11"/>
      <c r="J673" s="11"/>
    </row>
    <row r="674" spans="9:10" x14ac:dyDescent="0.25">
      <c r="I674" s="11"/>
      <c r="J674" s="11"/>
    </row>
    <row r="675" spans="9:10" x14ac:dyDescent="0.25">
      <c r="I675" s="11"/>
      <c r="J675" s="11"/>
    </row>
    <row r="676" spans="9:10" x14ac:dyDescent="0.25">
      <c r="I676" s="11"/>
      <c r="J676" s="11"/>
    </row>
    <row r="677" spans="9:10" x14ac:dyDescent="0.25">
      <c r="I677" s="11"/>
      <c r="J677" s="11"/>
    </row>
    <row r="678" spans="9:10" x14ac:dyDescent="0.25">
      <c r="I678" s="11"/>
      <c r="J678" s="11"/>
    </row>
    <row r="679" spans="9:10" x14ac:dyDescent="0.25">
      <c r="I679" s="11"/>
      <c r="J679" s="11"/>
    </row>
    <row r="680" spans="9:10" x14ac:dyDescent="0.25">
      <c r="I680" s="11"/>
      <c r="J680" s="11"/>
    </row>
    <row r="681" spans="9:10" x14ac:dyDescent="0.25">
      <c r="I681" s="11"/>
      <c r="J681" s="11"/>
    </row>
    <row r="682" spans="9:10" x14ac:dyDescent="0.25">
      <c r="I682" s="11"/>
      <c r="J682" s="11"/>
    </row>
    <row r="683" spans="9:10" x14ac:dyDescent="0.25">
      <c r="I683" s="11"/>
      <c r="J683" s="11"/>
    </row>
    <row r="684" spans="9:10" x14ac:dyDescent="0.25">
      <c r="I684" s="11"/>
      <c r="J684" s="11"/>
    </row>
    <row r="685" spans="9:10" x14ac:dyDescent="0.25">
      <c r="I685" s="11"/>
      <c r="J685" s="11"/>
    </row>
    <row r="686" spans="9:10" x14ac:dyDescent="0.25">
      <c r="I686" s="11"/>
      <c r="J686" s="11"/>
    </row>
    <row r="687" spans="9:10" x14ac:dyDescent="0.25">
      <c r="I687" s="11"/>
      <c r="J687" s="11"/>
    </row>
    <row r="688" spans="9:10" x14ac:dyDescent="0.25">
      <c r="I688" s="11"/>
      <c r="J688" s="11"/>
    </row>
    <row r="689" spans="9:10" x14ac:dyDescent="0.25">
      <c r="I689" s="11"/>
      <c r="J689" s="11"/>
    </row>
    <row r="690" spans="9:10" x14ac:dyDescent="0.25">
      <c r="I690" s="11"/>
      <c r="J690" s="11"/>
    </row>
    <row r="691" spans="9:10" x14ac:dyDescent="0.25">
      <c r="I691" s="11"/>
      <c r="J691" s="11"/>
    </row>
    <row r="692" spans="9:10" x14ac:dyDescent="0.25">
      <c r="I692" s="11"/>
      <c r="J692" s="11"/>
    </row>
    <row r="693" spans="9:10" x14ac:dyDescent="0.25">
      <c r="I693" s="11"/>
      <c r="J693" s="11"/>
    </row>
    <row r="694" spans="9:10" x14ac:dyDescent="0.25">
      <c r="I694" s="11"/>
      <c r="J694" s="11"/>
    </row>
    <row r="695" spans="9:10" x14ac:dyDescent="0.25">
      <c r="I695" s="11"/>
      <c r="J695" s="11"/>
    </row>
    <row r="696" spans="9:10" x14ac:dyDescent="0.25">
      <c r="I696" s="11"/>
      <c r="J696" s="11"/>
    </row>
    <row r="697" spans="9:10" x14ac:dyDescent="0.25">
      <c r="I697" s="11"/>
      <c r="J697" s="11"/>
    </row>
    <row r="698" spans="9:10" x14ac:dyDescent="0.25">
      <c r="I698" s="11"/>
      <c r="J698" s="11"/>
    </row>
    <row r="699" spans="9:10" x14ac:dyDescent="0.25">
      <c r="I699" s="11"/>
      <c r="J699" s="11"/>
    </row>
    <row r="700" spans="9:10" x14ac:dyDescent="0.25">
      <c r="I700" s="11"/>
      <c r="J700" s="11"/>
    </row>
    <row r="701" spans="9:10" x14ac:dyDescent="0.25">
      <c r="I701" s="11"/>
      <c r="J701" s="11"/>
    </row>
    <row r="702" spans="9:10" x14ac:dyDescent="0.25">
      <c r="I702" s="11"/>
      <c r="J702" s="11"/>
    </row>
    <row r="703" spans="9:10" x14ac:dyDescent="0.25">
      <c r="I703" s="11"/>
      <c r="J703" s="11"/>
    </row>
    <row r="704" spans="9:10" x14ac:dyDescent="0.25">
      <c r="I704" s="11"/>
      <c r="J704" s="11"/>
    </row>
    <row r="705" spans="9:10" x14ac:dyDescent="0.25">
      <c r="I705" s="11"/>
      <c r="J705" s="11"/>
    </row>
    <row r="706" spans="9:10" x14ac:dyDescent="0.25">
      <c r="I706" s="11"/>
      <c r="J706" s="11"/>
    </row>
    <row r="707" spans="9:10" x14ac:dyDescent="0.25">
      <c r="I707" s="11"/>
      <c r="J707" s="11"/>
    </row>
    <row r="708" spans="9:10" x14ac:dyDescent="0.25">
      <c r="I708" s="11"/>
      <c r="J708" s="11"/>
    </row>
    <row r="709" spans="9:10" x14ac:dyDescent="0.25">
      <c r="I709" s="11"/>
      <c r="J709" s="11"/>
    </row>
    <row r="710" spans="9:10" x14ac:dyDescent="0.25">
      <c r="I710" s="11"/>
      <c r="J710" s="11"/>
    </row>
    <row r="711" spans="9:10" x14ac:dyDescent="0.25">
      <c r="I711" s="11"/>
      <c r="J711" s="11"/>
    </row>
    <row r="712" spans="9:10" x14ac:dyDescent="0.25">
      <c r="I712" s="11"/>
      <c r="J712" s="11"/>
    </row>
    <row r="713" spans="9:10" x14ac:dyDescent="0.25">
      <c r="I713" s="11"/>
      <c r="J713" s="11"/>
    </row>
    <row r="714" spans="9:10" x14ac:dyDescent="0.25">
      <c r="I714" s="11"/>
      <c r="J714" s="11"/>
    </row>
    <row r="715" spans="9:10" x14ac:dyDescent="0.25">
      <c r="I715" s="11"/>
      <c r="J715" s="11"/>
    </row>
    <row r="716" spans="9:10" x14ac:dyDescent="0.25">
      <c r="I716" s="11"/>
      <c r="J716" s="11"/>
    </row>
    <row r="717" spans="9:10" x14ac:dyDescent="0.25">
      <c r="I717" s="11"/>
      <c r="J717" s="11"/>
    </row>
    <row r="718" spans="9:10" x14ac:dyDescent="0.25">
      <c r="I718" s="11"/>
      <c r="J718" s="11"/>
    </row>
    <row r="719" spans="9:10" x14ac:dyDescent="0.25">
      <c r="I719" s="11"/>
      <c r="J719" s="11"/>
    </row>
    <row r="720" spans="9:10" x14ac:dyDescent="0.25">
      <c r="I720" s="11"/>
      <c r="J720" s="11"/>
    </row>
    <row r="721" spans="9:10" x14ac:dyDescent="0.25">
      <c r="I721" s="11"/>
      <c r="J721" s="11"/>
    </row>
    <row r="722" spans="9:10" x14ac:dyDescent="0.25">
      <c r="I722" s="11"/>
      <c r="J722" s="11"/>
    </row>
    <row r="723" spans="9:10" x14ac:dyDescent="0.25">
      <c r="I723" s="11"/>
      <c r="J723" s="11"/>
    </row>
    <row r="724" spans="9:10" x14ac:dyDescent="0.25">
      <c r="I724" s="11"/>
      <c r="J724" s="11"/>
    </row>
    <row r="725" spans="9:10" x14ac:dyDescent="0.25">
      <c r="I725" s="11"/>
      <c r="J725" s="11"/>
    </row>
    <row r="726" spans="9:10" x14ac:dyDescent="0.25">
      <c r="I726" s="11"/>
      <c r="J726" s="11"/>
    </row>
    <row r="727" spans="9:10" x14ac:dyDescent="0.25">
      <c r="I727" s="11"/>
      <c r="J727" s="11"/>
    </row>
    <row r="728" spans="9:10" x14ac:dyDescent="0.25">
      <c r="I728" s="11"/>
      <c r="J728" s="11"/>
    </row>
    <row r="729" spans="9:10" x14ac:dyDescent="0.25">
      <c r="I729" s="11"/>
      <c r="J729" s="11"/>
    </row>
    <row r="730" spans="9:10" x14ac:dyDescent="0.25">
      <c r="I730" s="11"/>
      <c r="J730" s="11"/>
    </row>
    <row r="731" spans="9:10" x14ac:dyDescent="0.25">
      <c r="I731" s="11"/>
      <c r="J731" s="11"/>
    </row>
    <row r="732" spans="9:10" x14ac:dyDescent="0.25">
      <c r="I732" s="11"/>
      <c r="J732" s="11"/>
    </row>
    <row r="733" spans="9:10" x14ac:dyDescent="0.25">
      <c r="I733" s="11"/>
      <c r="J733" s="11"/>
    </row>
    <row r="734" spans="9:10" x14ac:dyDescent="0.25">
      <c r="I734" s="11"/>
      <c r="J734" s="11"/>
    </row>
    <row r="735" spans="9:10" x14ac:dyDescent="0.25">
      <c r="I735" s="11"/>
      <c r="J735" s="11"/>
    </row>
    <row r="736" spans="9:10" x14ac:dyDescent="0.25">
      <c r="I736" s="11"/>
      <c r="J736" s="11"/>
    </row>
    <row r="737" spans="9:10" x14ac:dyDescent="0.25">
      <c r="I737" s="11"/>
      <c r="J737" s="11"/>
    </row>
    <row r="738" spans="9:10" x14ac:dyDescent="0.25">
      <c r="I738" s="11"/>
      <c r="J738" s="11"/>
    </row>
    <row r="739" spans="9:10" x14ac:dyDescent="0.25">
      <c r="I739" s="11"/>
      <c r="J739" s="11"/>
    </row>
    <row r="740" spans="9:10" x14ac:dyDescent="0.25">
      <c r="I740" s="11"/>
      <c r="J740" s="11"/>
    </row>
    <row r="741" spans="9:10" x14ac:dyDescent="0.25">
      <c r="I741" s="11"/>
      <c r="J741" s="11"/>
    </row>
    <row r="742" spans="9:10" x14ac:dyDescent="0.25">
      <c r="I742" s="11"/>
      <c r="J742" s="11"/>
    </row>
    <row r="743" spans="9:10" x14ac:dyDescent="0.25">
      <c r="I743" s="11"/>
      <c r="J743" s="11"/>
    </row>
    <row r="744" spans="9:10" x14ac:dyDescent="0.25">
      <c r="I744" s="11"/>
      <c r="J744" s="11"/>
    </row>
    <row r="745" spans="9:10" x14ac:dyDescent="0.25">
      <c r="I745" s="11"/>
      <c r="J745" s="11"/>
    </row>
    <row r="746" spans="9:10" x14ac:dyDescent="0.25">
      <c r="I746" s="11"/>
      <c r="J746" s="11"/>
    </row>
    <row r="747" spans="9:10" x14ac:dyDescent="0.25">
      <c r="I747" s="11"/>
      <c r="J747" s="11"/>
    </row>
    <row r="748" spans="9:10" x14ac:dyDescent="0.25">
      <c r="I748" s="11"/>
      <c r="J748" s="11"/>
    </row>
    <row r="749" spans="9:10" x14ac:dyDescent="0.25">
      <c r="I749" s="11"/>
      <c r="J749" s="11"/>
    </row>
    <row r="750" spans="9:10" x14ac:dyDescent="0.25">
      <c r="I750" s="11"/>
      <c r="J750" s="11"/>
    </row>
    <row r="751" spans="9:10" x14ac:dyDescent="0.25">
      <c r="I751" s="11"/>
      <c r="J751" s="11"/>
    </row>
    <row r="752" spans="9:10" x14ac:dyDescent="0.25">
      <c r="I752" s="11"/>
      <c r="J752" s="11"/>
    </row>
    <row r="753" spans="9:10" x14ac:dyDescent="0.25">
      <c r="I753" s="11"/>
      <c r="J753" s="11"/>
    </row>
    <row r="754" spans="9:10" x14ac:dyDescent="0.25">
      <c r="I754" s="11"/>
      <c r="J754" s="11"/>
    </row>
    <row r="755" spans="9:10" x14ac:dyDescent="0.25">
      <c r="I755" s="11"/>
      <c r="J755" s="11"/>
    </row>
    <row r="756" spans="9:10" x14ac:dyDescent="0.25">
      <c r="I756" s="11"/>
      <c r="J756" s="11"/>
    </row>
    <row r="757" spans="9:10" x14ac:dyDescent="0.25">
      <c r="I757" s="11"/>
      <c r="J757" s="11"/>
    </row>
    <row r="758" spans="9:10" x14ac:dyDescent="0.25">
      <c r="I758" s="11"/>
      <c r="J758" s="11"/>
    </row>
    <row r="759" spans="9:10" x14ac:dyDescent="0.25">
      <c r="I759" s="11"/>
      <c r="J759" s="11"/>
    </row>
    <row r="760" spans="9:10" x14ac:dyDescent="0.25">
      <c r="I760" s="11"/>
      <c r="J760" s="11"/>
    </row>
    <row r="761" spans="9:10" x14ac:dyDescent="0.25">
      <c r="I761" s="11"/>
      <c r="J761" s="11"/>
    </row>
    <row r="762" spans="9:10" x14ac:dyDescent="0.25">
      <c r="I762" s="11"/>
      <c r="J762" s="11"/>
    </row>
    <row r="763" spans="9:10" x14ac:dyDescent="0.25">
      <c r="I763" s="11"/>
      <c r="J763" s="11"/>
    </row>
    <row r="764" spans="9:10" x14ac:dyDescent="0.25">
      <c r="I764" s="11"/>
      <c r="J764" s="11"/>
    </row>
    <row r="765" spans="9:10" x14ac:dyDescent="0.25">
      <c r="I765" s="11"/>
      <c r="J765" s="11"/>
    </row>
    <row r="766" spans="9:10" x14ac:dyDescent="0.25">
      <c r="I766" s="11"/>
      <c r="J766" s="11"/>
    </row>
    <row r="767" spans="9:10" x14ac:dyDescent="0.25">
      <c r="I767" s="11"/>
      <c r="J767" s="11"/>
    </row>
    <row r="768" spans="9:10" x14ac:dyDescent="0.25">
      <c r="I768" s="11"/>
      <c r="J768" s="11"/>
    </row>
    <row r="769" spans="9:10" x14ac:dyDescent="0.25">
      <c r="I769" s="11"/>
      <c r="J769" s="11"/>
    </row>
    <row r="770" spans="9:10" x14ac:dyDescent="0.25">
      <c r="I770" s="11"/>
      <c r="J770" s="11"/>
    </row>
    <row r="771" spans="9:10" x14ac:dyDescent="0.25">
      <c r="I771" s="11"/>
      <c r="J771" s="11"/>
    </row>
    <row r="772" spans="9:10" x14ac:dyDescent="0.25">
      <c r="I772" s="11"/>
      <c r="J772" s="11"/>
    </row>
    <row r="773" spans="9:10" x14ac:dyDescent="0.25">
      <c r="I773" s="11"/>
      <c r="J773" s="11"/>
    </row>
    <row r="774" spans="9:10" x14ac:dyDescent="0.25">
      <c r="I774" s="11"/>
      <c r="J774" s="11"/>
    </row>
    <row r="775" spans="9:10" x14ac:dyDescent="0.25">
      <c r="I775" s="11"/>
      <c r="J775" s="11"/>
    </row>
    <row r="776" spans="9:10" x14ac:dyDescent="0.25">
      <c r="I776" s="11"/>
      <c r="J776" s="11"/>
    </row>
    <row r="777" spans="9:10" x14ac:dyDescent="0.25">
      <c r="I777" s="11"/>
      <c r="J777" s="11"/>
    </row>
    <row r="778" spans="9:10" x14ac:dyDescent="0.25">
      <c r="I778" s="11"/>
      <c r="J778" s="11"/>
    </row>
    <row r="779" spans="9:10" x14ac:dyDescent="0.25">
      <c r="I779" s="11"/>
      <c r="J779" s="11"/>
    </row>
    <row r="780" spans="9:10" x14ac:dyDescent="0.25">
      <c r="I780" s="11"/>
      <c r="J780" s="11"/>
    </row>
    <row r="781" spans="9:10" x14ac:dyDescent="0.25">
      <c r="I781" s="11"/>
      <c r="J781" s="11"/>
    </row>
    <row r="782" spans="9:10" x14ac:dyDescent="0.25">
      <c r="I782" s="11"/>
      <c r="J782" s="11"/>
    </row>
    <row r="783" spans="9:10" x14ac:dyDescent="0.25">
      <c r="I783" s="11"/>
      <c r="J783" s="11"/>
    </row>
    <row r="784" spans="9:10" x14ac:dyDescent="0.25">
      <c r="I784" s="11"/>
      <c r="J784" s="11"/>
    </row>
    <row r="785" spans="9:10" x14ac:dyDescent="0.25">
      <c r="I785" s="11"/>
      <c r="J785" s="11"/>
    </row>
    <row r="786" spans="9:10" x14ac:dyDescent="0.25">
      <c r="I786" s="11"/>
      <c r="J786" s="11"/>
    </row>
    <row r="787" spans="9:10" x14ac:dyDescent="0.25">
      <c r="I787" s="11"/>
      <c r="J787" s="11"/>
    </row>
    <row r="788" spans="9:10" x14ac:dyDescent="0.25">
      <c r="I788" s="11"/>
      <c r="J788" s="11"/>
    </row>
    <row r="789" spans="9:10" x14ac:dyDescent="0.25">
      <c r="I789" s="11"/>
      <c r="J789" s="11"/>
    </row>
    <row r="790" spans="9:10" x14ac:dyDescent="0.25">
      <c r="I790" s="11"/>
      <c r="J790" s="11"/>
    </row>
    <row r="791" spans="9:10" x14ac:dyDescent="0.25">
      <c r="I791" s="11"/>
      <c r="J791" s="11"/>
    </row>
    <row r="792" spans="9:10" x14ac:dyDescent="0.25">
      <c r="I792" s="11"/>
      <c r="J792" s="11"/>
    </row>
    <row r="793" spans="9:10" x14ac:dyDescent="0.25">
      <c r="I793" s="11"/>
      <c r="J793" s="11"/>
    </row>
    <row r="794" spans="9:10" x14ac:dyDescent="0.25">
      <c r="I794" s="11"/>
      <c r="J794" s="11"/>
    </row>
    <row r="795" spans="9:10" x14ac:dyDescent="0.25">
      <c r="I795" s="11"/>
      <c r="J795" s="11"/>
    </row>
    <row r="796" spans="9:10" x14ac:dyDescent="0.25">
      <c r="I796" s="11"/>
      <c r="J796" s="11"/>
    </row>
    <row r="797" spans="9:10" x14ac:dyDescent="0.25">
      <c r="I797" s="11"/>
      <c r="J797" s="11"/>
    </row>
    <row r="798" spans="9:10" x14ac:dyDescent="0.25">
      <c r="I798" s="11"/>
      <c r="J798" s="11"/>
    </row>
    <row r="799" spans="9:10" x14ac:dyDescent="0.25">
      <c r="I799" s="11"/>
      <c r="J799" s="11"/>
    </row>
    <row r="800" spans="9:10" x14ac:dyDescent="0.25">
      <c r="I800" s="11"/>
      <c r="J800" s="11"/>
    </row>
    <row r="801" spans="9:10" x14ac:dyDescent="0.25">
      <c r="I801" s="11"/>
      <c r="J801" s="11"/>
    </row>
    <row r="802" spans="9:10" x14ac:dyDescent="0.25">
      <c r="I802" s="11"/>
      <c r="J802" s="11"/>
    </row>
    <row r="803" spans="9:10" x14ac:dyDescent="0.25">
      <c r="I803" s="11"/>
      <c r="J803" s="11"/>
    </row>
    <row r="804" spans="9:10" x14ac:dyDescent="0.25">
      <c r="I804" s="11"/>
      <c r="J804" s="11"/>
    </row>
    <row r="805" spans="9:10" x14ac:dyDescent="0.25">
      <c r="I805" s="11"/>
      <c r="J805" s="11"/>
    </row>
    <row r="806" spans="9:10" x14ac:dyDescent="0.25">
      <c r="I806" s="11"/>
      <c r="J806" s="11"/>
    </row>
    <row r="807" spans="9:10" x14ac:dyDescent="0.25">
      <c r="I807" s="11"/>
      <c r="J807" s="11"/>
    </row>
    <row r="808" spans="9:10" x14ac:dyDescent="0.25">
      <c r="I808" s="11"/>
      <c r="J808" s="11"/>
    </row>
    <row r="809" spans="9:10" x14ac:dyDescent="0.25">
      <c r="I809" s="11"/>
      <c r="J809" s="11"/>
    </row>
    <row r="810" spans="9:10" x14ac:dyDescent="0.25">
      <c r="I810" s="11"/>
      <c r="J810" s="11"/>
    </row>
    <row r="811" spans="9:10" x14ac:dyDescent="0.25">
      <c r="I811" s="11"/>
      <c r="J811" s="11"/>
    </row>
    <row r="812" spans="9:10" x14ac:dyDescent="0.25">
      <c r="I812" s="11"/>
      <c r="J812" s="11"/>
    </row>
    <row r="813" spans="9:10" x14ac:dyDescent="0.25">
      <c r="I813" s="11"/>
      <c r="J813" s="11"/>
    </row>
    <row r="814" spans="9:10" x14ac:dyDescent="0.25">
      <c r="I814" s="11"/>
      <c r="J814" s="11"/>
    </row>
    <row r="815" spans="9:10" x14ac:dyDescent="0.25">
      <c r="I815" s="11"/>
      <c r="J815" s="11"/>
    </row>
    <row r="816" spans="9:10" x14ac:dyDescent="0.25">
      <c r="I816" s="11"/>
      <c r="J816" s="11"/>
    </row>
    <row r="817" spans="9:10" x14ac:dyDescent="0.25">
      <c r="I817" s="11"/>
      <c r="J817" s="11"/>
    </row>
    <row r="818" spans="9:10" x14ac:dyDescent="0.25">
      <c r="I818" s="11"/>
      <c r="J818" s="11"/>
    </row>
    <row r="819" spans="9:10" x14ac:dyDescent="0.25">
      <c r="I819" s="11"/>
      <c r="J819" s="11"/>
    </row>
    <row r="820" spans="9:10" x14ac:dyDescent="0.25">
      <c r="I820" s="11"/>
      <c r="J820" s="11"/>
    </row>
    <row r="821" spans="9:10" x14ac:dyDescent="0.25">
      <c r="I821" s="11"/>
      <c r="J821" s="11"/>
    </row>
    <row r="822" spans="9:10" x14ac:dyDescent="0.25">
      <c r="I822" s="11"/>
      <c r="J822" s="11"/>
    </row>
    <row r="823" spans="9:10" x14ac:dyDescent="0.25">
      <c r="I823" s="11"/>
      <c r="J823" s="11"/>
    </row>
    <row r="824" spans="9:10" x14ac:dyDescent="0.25">
      <c r="I824" s="11"/>
      <c r="J824" s="11"/>
    </row>
    <row r="825" spans="9:10" x14ac:dyDescent="0.25">
      <c r="I825" s="11"/>
      <c r="J825" s="11"/>
    </row>
    <row r="826" spans="9:10" x14ac:dyDescent="0.25">
      <c r="I826" s="11"/>
      <c r="J826" s="11"/>
    </row>
    <row r="827" spans="9:10" x14ac:dyDescent="0.25">
      <c r="I827" s="11"/>
      <c r="J827" s="11"/>
    </row>
    <row r="828" spans="9:10" x14ac:dyDescent="0.25">
      <c r="I828" s="11"/>
      <c r="J828" s="11"/>
    </row>
    <row r="829" spans="9:10" x14ac:dyDescent="0.25">
      <c r="I829" s="11"/>
      <c r="J829" s="11"/>
    </row>
    <row r="830" spans="9:10" x14ac:dyDescent="0.25">
      <c r="I830" s="11"/>
      <c r="J830" s="11"/>
    </row>
    <row r="831" spans="9:10" x14ac:dyDescent="0.25">
      <c r="I831" s="11"/>
      <c r="J831" s="11"/>
    </row>
    <row r="832" spans="9:10" x14ac:dyDescent="0.25">
      <c r="I832" s="11"/>
      <c r="J832" s="11"/>
    </row>
    <row r="833" spans="9:10" x14ac:dyDescent="0.25">
      <c r="I833" s="11"/>
      <c r="J833" s="11"/>
    </row>
    <row r="834" spans="9:10" x14ac:dyDescent="0.25">
      <c r="I834" s="11"/>
      <c r="J834" s="11"/>
    </row>
    <row r="835" spans="9:10" x14ac:dyDescent="0.25">
      <c r="I835" s="11"/>
      <c r="J835" s="11"/>
    </row>
    <row r="836" spans="9:10" x14ac:dyDescent="0.25">
      <c r="I836" s="11"/>
      <c r="J836" s="11"/>
    </row>
    <row r="837" spans="9:10" x14ac:dyDescent="0.25">
      <c r="I837" s="11"/>
      <c r="J837" s="11"/>
    </row>
    <row r="838" spans="9:10" x14ac:dyDescent="0.25">
      <c r="I838" s="11"/>
      <c r="J838" s="11"/>
    </row>
    <row r="839" spans="9:10" x14ac:dyDescent="0.25">
      <c r="I839" s="11"/>
      <c r="J839" s="11"/>
    </row>
    <row r="840" spans="9:10" x14ac:dyDescent="0.25">
      <c r="I840" s="11"/>
      <c r="J840" s="11"/>
    </row>
    <row r="841" spans="9:10" x14ac:dyDescent="0.25">
      <c r="I841" s="11"/>
      <c r="J841" s="11"/>
    </row>
    <row r="842" spans="9:10" x14ac:dyDescent="0.25">
      <c r="I842" s="11"/>
      <c r="J842" s="11"/>
    </row>
    <row r="843" spans="9:10" x14ac:dyDescent="0.25">
      <c r="I843" s="11"/>
      <c r="J843" s="11"/>
    </row>
    <row r="844" spans="9:10" x14ac:dyDescent="0.25">
      <c r="I844" s="11"/>
      <c r="J844" s="11"/>
    </row>
  </sheetData>
  <mergeCells count="1">
    <mergeCell ref="B2:F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Start1">
                <anchor moveWithCells="1" sizeWithCells="1">
                  <from>
                    <xdr:col>2</xdr:col>
                    <xdr:colOff>676275</xdr:colOff>
                    <xdr:row>17</xdr:row>
                    <xdr:rowOff>47625</xdr:rowOff>
                  </from>
                  <to>
                    <xdr:col>2</xdr:col>
                    <xdr:colOff>1562100</xdr:colOff>
                    <xdr:row>19</xdr:row>
                    <xdr:rowOff>57150</xdr:rowOff>
                  </to>
                </anchor>
              </controlPr>
            </control>
          </mc:Choice>
        </mc:AlternateContent>
        <mc:AlternateContent xmlns:mc="http://schemas.openxmlformats.org/markup-compatibility/2006">
          <mc:Choice Requires="x14">
            <control shapeId="11266" r:id="rId5" name="Button 2">
              <controlPr defaultSize="0" print="0" autoFill="0" autoPict="0" macro="[0]!Transport">
                <anchor moveWithCells="1" sizeWithCells="1">
                  <from>
                    <xdr:col>2</xdr:col>
                    <xdr:colOff>1809750</xdr:colOff>
                    <xdr:row>17</xdr:row>
                    <xdr:rowOff>66675</xdr:rowOff>
                  </from>
                  <to>
                    <xdr:col>3</xdr:col>
                    <xdr:colOff>685800</xdr:colOff>
                    <xdr:row>19</xdr:row>
                    <xdr:rowOff>57150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tabColor rgb="FF002060"/>
  </sheetPr>
  <dimension ref="A1:J45"/>
  <sheetViews>
    <sheetView showGridLines="0" topLeftCell="A34" workbookViewId="0">
      <selection activeCell="H38" sqref="H38"/>
    </sheetView>
  </sheetViews>
  <sheetFormatPr defaultRowHeight="15" x14ac:dyDescent="0.25"/>
  <cols>
    <col min="10" max="10" width="11.28515625" customWidth="1"/>
    <col min="11" max="11" width="12.140625" customWidth="1"/>
  </cols>
  <sheetData>
    <row r="1" spans="1:10" ht="18" x14ac:dyDescent="0.25">
      <c r="A1" s="91" t="s">
        <v>115</v>
      </c>
    </row>
    <row r="2" spans="1:10" x14ac:dyDescent="0.25">
      <c r="B2" s="140" t="s">
        <v>117</v>
      </c>
      <c r="C2" s="140"/>
      <c r="D2" s="140"/>
      <c r="E2" s="140"/>
      <c r="F2" s="140"/>
      <c r="G2" s="140"/>
      <c r="H2" s="140"/>
      <c r="I2" s="140"/>
      <c r="J2" s="140"/>
    </row>
    <row r="3" spans="1:10" x14ac:dyDescent="0.25">
      <c r="B3" s="140"/>
      <c r="C3" s="140"/>
      <c r="D3" s="140"/>
      <c r="E3" s="140"/>
      <c r="F3" s="140"/>
      <c r="G3" s="140"/>
      <c r="H3" s="140"/>
      <c r="I3" s="140"/>
      <c r="J3" s="140"/>
    </row>
    <row r="6" spans="1:10" ht="78.75" x14ac:dyDescent="0.25">
      <c r="B6" s="69"/>
      <c r="C6" s="68" t="s">
        <v>56</v>
      </c>
      <c r="D6" s="68" t="s">
        <v>53</v>
      </c>
      <c r="E6" s="68" t="s">
        <v>54</v>
      </c>
      <c r="F6" s="68" t="s">
        <v>55</v>
      </c>
      <c r="G6" s="68" t="s">
        <v>57</v>
      </c>
      <c r="H6" s="73" t="s">
        <v>58</v>
      </c>
      <c r="I6" s="72" t="s">
        <v>59</v>
      </c>
      <c r="J6" s="143" t="s">
        <v>92</v>
      </c>
    </row>
    <row r="7" spans="1:10" x14ac:dyDescent="0.25">
      <c r="B7" s="70">
        <v>1</v>
      </c>
      <c r="C7" s="81">
        <v>824.55</v>
      </c>
      <c r="D7" s="81">
        <v>100</v>
      </c>
      <c r="E7" s="81">
        <v>1000</v>
      </c>
      <c r="F7" s="81">
        <v>1.75</v>
      </c>
      <c r="G7" s="130">
        <v>1</v>
      </c>
      <c r="H7" s="76">
        <v>0</v>
      </c>
      <c r="I7" s="77">
        <v>0</v>
      </c>
      <c r="J7" s="151">
        <f>H7/D7</f>
        <v>0</v>
      </c>
    </row>
    <row r="8" spans="1:10" x14ac:dyDescent="0.25">
      <c r="B8" s="70">
        <v>2</v>
      </c>
      <c r="C8" s="81">
        <v>824.55</v>
      </c>
      <c r="D8" s="81">
        <v>1000</v>
      </c>
      <c r="E8" s="81">
        <v>1000</v>
      </c>
      <c r="F8" s="81">
        <v>1.75</v>
      </c>
      <c r="G8" s="130">
        <v>1</v>
      </c>
      <c r="H8" s="76">
        <v>0</v>
      </c>
      <c r="I8" s="77">
        <v>0</v>
      </c>
      <c r="J8" s="152">
        <f t="shared" ref="J8:J16" si="0">H8/D8</f>
        <v>0</v>
      </c>
    </row>
    <row r="9" spans="1:10" x14ac:dyDescent="0.25">
      <c r="B9" s="70">
        <v>3</v>
      </c>
      <c r="C9" s="81">
        <v>824.55</v>
      </c>
      <c r="D9" s="129">
        <v>10000</v>
      </c>
      <c r="E9" s="81">
        <v>1000</v>
      </c>
      <c r="F9" s="81">
        <v>1.75</v>
      </c>
      <c r="G9" s="81">
        <v>10</v>
      </c>
      <c r="H9" s="76">
        <v>1972.011507936508</v>
      </c>
      <c r="I9" s="77">
        <v>2</v>
      </c>
      <c r="J9" s="152">
        <f t="shared" si="0"/>
        <v>0.1972011507936508</v>
      </c>
    </row>
    <row r="10" spans="1:10" x14ac:dyDescent="0.25">
      <c r="B10" s="70">
        <v>4</v>
      </c>
      <c r="C10" s="81">
        <v>824.55</v>
      </c>
      <c r="D10" s="129">
        <v>100000</v>
      </c>
      <c r="E10" s="81">
        <v>1000</v>
      </c>
      <c r="F10" s="81">
        <v>1.75</v>
      </c>
      <c r="G10" s="81">
        <v>10</v>
      </c>
      <c r="H10" s="76">
        <v>9835.4407377772095</v>
      </c>
      <c r="I10" s="77">
        <v>10</v>
      </c>
      <c r="J10" s="152">
        <f t="shared" si="0"/>
        <v>9.8354407377772096E-2</v>
      </c>
    </row>
    <row r="11" spans="1:10" x14ac:dyDescent="0.25">
      <c r="B11" s="70">
        <v>5</v>
      </c>
      <c r="C11" s="81">
        <v>824.55</v>
      </c>
      <c r="D11" s="129">
        <v>1000000</v>
      </c>
      <c r="E11" s="81">
        <v>1000</v>
      </c>
      <c r="F11" s="81">
        <v>1.75</v>
      </c>
      <c r="G11" s="81">
        <v>10</v>
      </c>
      <c r="H11" s="76">
        <v>60051.722637338535</v>
      </c>
      <c r="I11" s="77">
        <v>10</v>
      </c>
      <c r="J11" s="152">
        <f t="shared" si="0"/>
        <v>6.0051722637338538E-2</v>
      </c>
    </row>
    <row r="12" spans="1:10" x14ac:dyDescent="0.25">
      <c r="B12" s="70">
        <v>6</v>
      </c>
      <c r="C12" s="81">
        <v>824.55</v>
      </c>
      <c r="D12" s="129">
        <v>10000000</v>
      </c>
      <c r="E12" s="81">
        <v>1000</v>
      </c>
      <c r="F12" s="81">
        <v>1.75</v>
      </c>
      <c r="G12" s="81">
        <v>10</v>
      </c>
      <c r="H12" s="76">
        <v>562280.4696150407</v>
      </c>
      <c r="I12" s="77">
        <v>10</v>
      </c>
      <c r="J12" s="152">
        <f t="shared" si="0"/>
        <v>5.6228046961504068E-2</v>
      </c>
    </row>
    <row r="13" spans="1:10" x14ac:dyDescent="0.25">
      <c r="B13" s="70">
        <v>7</v>
      </c>
      <c r="C13" s="81">
        <v>824.55</v>
      </c>
      <c r="D13" s="129">
        <v>100000000</v>
      </c>
      <c r="E13" s="81">
        <v>1000</v>
      </c>
      <c r="F13" s="81">
        <v>1.75</v>
      </c>
      <c r="G13" s="81">
        <v>10</v>
      </c>
      <c r="H13" s="76">
        <v>5584563.6748468485</v>
      </c>
      <c r="I13" s="77">
        <v>10</v>
      </c>
      <c r="J13" s="152">
        <f t="shared" si="0"/>
        <v>5.5845636748468486E-2</v>
      </c>
    </row>
    <row r="14" spans="1:10" x14ac:dyDescent="0.25">
      <c r="B14" s="70">
        <v>8</v>
      </c>
      <c r="C14" s="81">
        <v>824.55</v>
      </c>
      <c r="D14" s="129">
        <v>1000000000</v>
      </c>
      <c r="E14" s="81">
        <v>1000</v>
      </c>
      <c r="F14" s="81">
        <v>1.75</v>
      </c>
      <c r="G14" s="81">
        <v>10</v>
      </c>
      <c r="H14" s="76">
        <v>55807396.631406724</v>
      </c>
      <c r="I14" s="77">
        <v>10</v>
      </c>
      <c r="J14" s="152">
        <f t="shared" si="0"/>
        <v>5.5807396631406728E-2</v>
      </c>
    </row>
    <row r="15" spans="1:10" x14ac:dyDescent="0.25">
      <c r="B15" s="70">
        <v>9</v>
      </c>
      <c r="C15" s="81">
        <v>824.55</v>
      </c>
      <c r="D15" s="129">
        <v>10000000000</v>
      </c>
      <c r="E15" s="81">
        <v>1000</v>
      </c>
      <c r="F15" s="81">
        <v>1.75</v>
      </c>
      <c r="G15" s="81">
        <v>10</v>
      </c>
      <c r="H15" s="76">
        <v>558035726.32765591</v>
      </c>
      <c r="I15" s="77">
        <v>10</v>
      </c>
      <c r="J15" s="152">
        <f t="shared" si="0"/>
        <v>5.5803572632765593E-2</v>
      </c>
    </row>
    <row r="16" spans="1:10" x14ac:dyDescent="0.25">
      <c r="B16" s="71">
        <v>10</v>
      </c>
      <c r="C16" s="94">
        <v>824.55</v>
      </c>
      <c r="D16" s="150">
        <v>100000000000</v>
      </c>
      <c r="E16" s="83">
        <v>1000</v>
      </c>
      <c r="F16" s="83">
        <v>1.75</v>
      </c>
      <c r="G16" s="95">
        <v>10</v>
      </c>
      <c r="H16" s="132">
        <v>5580319023.3050699</v>
      </c>
      <c r="I16" s="133">
        <v>10</v>
      </c>
      <c r="J16" s="152">
        <f t="shared" si="0"/>
        <v>5.5803190233050699E-2</v>
      </c>
    </row>
    <row r="19" spans="2:10" ht="79.5" customHeight="1" x14ac:dyDescent="0.25">
      <c r="B19" s="69"/>
      <c r="C19" s="68" t="s">
        <v>56</v>
      </c>
      <c r="D19" s="68" t="s">
        <v>53</v>
      </c>
      <c r="E19" s="68" t="s">
        <v>54</v>
      </c>
      <c r="F19" s="68" t="s">
        <v>55</v>
      </c>
      <c r="G19" s="68" t="s">
        <v>57</v>
      </c>
      <c r="H19" s="73" t="s">
        <v>58</v>
      </c>
      <c r="I19" s="72" t="s">
        <v>59</v>
      </c>
      <c r="J19" s="143" t="s">
        <v>92</v>
      </c>
    </row>
    <row r="20" spans="2:10" x14ac:dyDescent="0.25">
      <c r="B20" s="70">
        <v>1</v>
      </c>
      <c r="C20" s="81">
        <v>1000</v>
      </c>
      <c r="D20" s="81">
        <v>4000</v>
      </c>
      <c r="E20" s="81">
        <v>2000</v>
      </c>
      <c r="F20" s="81">
        <v>2</v>
      </c>
      <c r="G20" s="81">
        <v>2</v>
      </c>
      <c r="H20" s="76">
        <v>1000</v>
      </c>
      <c r="I20" s="153">
        <v>1</v>
      </c>
      <c r="J20" s="156">
        <f>H20/D20</f>
        <v>0.25</v>
      </c>
    </row>
    <row r="21" spans="2:10" x14ac:dyDescent="0.25">
      <c r="B21" s="70">
        <v>2</v>
      </c>
      <c r="C21" s="81">
        <v>1000</v>
      </c>
      <c r="D21" s="81">
        <v>8000</v>
      </c>
      <c r="E21" s="81">
        <v>2000</v>
      </c>
      <c r="F21" s="81">
        <v>2</v>
      </c>
      <c r="G21" s="81">
        <v>2</v>
      </c>
      <c r="H21" s="76">
        <v>1833.3333333333333</v>
      </c>
      <c r="I21" s="153">
        <v>1</v>
      </c>
      <c r="J21" s="156">
        <f t="shared" ref="J21:J32" si="1">H21/D21</f>
        <v>0.22916666666666666</v>
      </c>
    </row>
    <row r="22" spans="2:10" x14ac:dyDescent="0.25">
      <c r="B22" s="70">
        <v>3</v>
      </c>
      <c r="C22" s="81">
        <v>1000</v>
      </c>
      <c r="D22" s="81">
        <v>12000</v>
      </c>
      <c r="E22" s="81">
        <v>2000</v>
      </c>
      <c r="F22" s="81">
        <v>2</v>
      </c>
      <c r="G22" s="81">
        <v>2</v>
      </c>
      <c r="H22" s="76">
        <v>2566.6666666666665</v>
      </c>
      <c r="I22" s="153">
        <v>2</v>
      </c>
      <c r="J22" s="156">
        <f t="shared" si="1"/>
        <v>0.21388888888888888</v>
      </c>
    </row>
    <row r="23" spans="2:10" x14ac:dyDescent="0.25">
      <c r="B23" s="70">
        <v>4</v>
      </c>
      <c r="C23" s="81">
        <v>1000</v>
      </c>
      <c r="D23" s="81">
        <v>16000</v>
      </c>
      <c r="E23" s="81">
        <v>2000</v>
      </c>
      <c r="F23" s="81">
        <v>2</v>
      </c>
      <c r="G23" s="81">
        <v>2</v>
      </c>
      <c r="H23" s="76">
        <v>3185.7142857142858</v>
      </c>
      <c r="I23" s="153">
        <v>2</v>
      </c>
      <c r="J23" s="156">
        <f t="shared" si="1"/>
        <v>0.19910714285714287</v>
      </c>
    </row>
    <row r="24" spans="2:10" x14ac:dyDescent="0.25">
      <c r="B24" s="70">
        <v>5</v>
      </c>
      <c r="C24" s="81">
        <v>1000</v>
      </c>
      <c r="D24" s="81">
        <v>20000</v>
      </c>
      <c r="E24" s="81">
        <v>2000</v>
      </c>
      <c r="F24" s="81">
        <v>2</v>
      </c>
      <c r="G24" s="81">
        <v>2</v>
      </c>
      <c r="H24" s="76">
        <v>3657.936507936508</v>
      </c>
      <c r="I24" s="153">
        <v>2</v>
      </c>
      <c r="J24" s="156">
        <f t="shared" si="1"/>
        <v>0.18289682539682539</v>
      </c>
    </row>
    <row r="25" spans="2:10" x14ac:dyDescent="0.25">
      <c r="B25" s="70">
        <v>6</v>
      </c>
      <c r="C25" s="81">
        <v>1000</v>
      </c>
      <c r="D25" s="81">
        <v>30000</v>
      </c>
      <c r="E25" s="81">
        <v>2000</v>
      </c>
      <c r="F25" s="81">
        <v>2</v>
      </c>
      <c r="G25" s="81">
        <v>2</v>
      </c>
      <c r="H25" s="76">
        <v>5006.2493062493058</v>
      </c>
      <c r="I25" s="153">
        <v>2</v>
      </c>
      <c r="J25" s="156">
        <f t="shared" si="1"/>
        <v>0.16687497687497685</v>
      </c>
    </row>
    <row r="26" spans="2:10" x14ac:dyDescent="0.25">
      <c r="B26" s="70">
        <v>7</v>
      </c>
      <c r="C26" s="81">
        <v>1000</v>
      </c>
      <c r="D26" s="81">
        <v>40000</v>
      </c>
      <c r="E26" s="81">
        <v>2000</v>
      </c>
      <c r="F26" s="81">
        <v>2</v>
      </c>
      <c r="G26" s="81">
        <v>2</v>
      </c>
      <c r="H26" s="76">
        <v>6286.4379428620914</v>
      </c>
      <c r="I26" s="153">
        <v>2</v>
      </c>
      <c r="J26" s="156">
        <f t="shared" si="1"/>
        <v>0.15716094857155227</v>
      </c>
    </row>
    <row r="27" spans="2:10" ht="15.75" x14ac:dyDescent="0.25">
      <c r="B27" s="70">
        <v>8</v>
      </c>
      <c r="C27" s="81">
        <v>1000</v>
      </c>
      <c r="D27" s="81">
        <v>50000</v>
      </c>
      <c r="E27" s="81">
        <v>2000</v>
      </c>
      <c r="F27" s="81">
        <v>2</v>
      </c>
      <c r="G27" s="81">
        <v>2</v>
      </c>
      <c r="H27" s="78">
        <v>7655.7490665210407</v>
      </c>
      <c r="I27" s="154">
        <v>2</v>
      </c>
      <c r="J27" s="156">
        <f t="shared" si="1"/>
        <v>0.15311498133042081</v>
      </c>
    </row>
    <row r="28" spans="2:10" ht="15.75" x14ac:dyDescent="0.25">
      <c r="B28" s="70">
        <v>9</v>
      </c>
      <c r="C28" s="81">
        <v>1000</v>
      </c>
      <c r="D28" s="81">
        <v>60000</v>
      </c>
      <c r="E28" s="81">
        <v>2000</v>
      </c>
      <c r="F28" s="81">
        <v>2</v>
      </c>
      <c r="G28" s="81">
        <v>2</v>
      </c>
      <c r="H28" s="78">
        <v>9026.5637140297968</v>
      </c>
      <c r="I28" s="154">
        <v>2</v>
      </c>
      <c r="J28" s="156">
        <f t="shared" si="1"/>
        <v>0.15044272856716329</v>
      </c>
    </row>
    <row r="29" spans="2:10" ht="15.75" x14ac:dyDescent="0.25">
      <c r="B29" s="70">
        <v>10</v>
      </c>
      <c r="C29" s="94">
        <v>1000</v>
      </c>
      <c r="D29" s="83">
        <v>100000</v>
      </c>
      <c r="E29" s="83">
        <v>2000</v>
      </c>
      <c r="F29" s="83">
        <v>2</v>
      </c>
      <c r="G29" s="95">
        <v>2</v>
      </c>
      <c r="H29" s="80">
        <v>14408.874736611951</v>
      </c>
      <c r="I29" s="155">
        <v>2</v>
      </c>
      <c r="J29" s="156">
        <f t="shared" si="1"/>
        <v>0.14408874736611951</v>
      </c>
    </row>
    <row r="30" spans="2:10" x14ac:dyDescent="0.25">
      <c r="B30" s="70">
        <v>11</v>
      </c>
      <c r="C30" s="94">
        <v>1000</v>
      </c>
      <c r="D30" s="83">
        <v>1000000</v>
      </c>
      <c r="E30" s="83">
        <v>2000</v>
      </c>
      <c r="F30" s="83">
        <v>2</v>
      </c>
      <c r="G30" s="95">
        <v>2</v>
      </c>
      <c r="H30" s="157">
        <v>136200.05907554421</v>
      </c>
      <c r="I30" s="161">
        <v>2</v>
      </c>
      <c r="J30" s="156">
        <f t="shared" si="1"/>
        <v>0.13620005907554422</v>
      </c>
    </row>
    <row r="31" spans="2:10" x14ac:dyDescent="0.25">
      <c r="B31" s="70">
        <v>12</v>
      </c>
      <c r="C31" s="94">
        <v>1000</v>
      </c>
      <c r="D31" s="150">
        <v>1000000000</v>
      </c>
      <c r="E31" s="83">
        <v>2000</v>
      </c>
      <c r="F31" s="83">
        <v>2</v>
      </c>
      <c r="G31" s="95">
        <v>2</v>
      </c>
      <c r="H31" s="157">
        <v>135336147.9011288</v>
      </c>
      <c r="I31" s="161">
        <v>2</v>
      </c>
      <c r="J31" s="156">
        <f t="shared" si="1"/>
        <v>0.1353361479011288</v>
      </c>
    </row>
    <row r="32" spans="2:10" x14ac:dyDescent="0.25">
      <c r="B32" s="70">
        <v>13</v>
      </c>
      <c r="C32" s="157">
        <v>1000</v>
      </c>
      <c r="D32" s="158">
        <v>1000000000000</v>
      </c>
      <c r="E32" s="159">
        <v>2000</v>
      </c>
      <c r="F32" s="159">
        <v>2</v>
      </c>
      <c r="G32" s="160">
        <v>2</v>
      </c>
      <c r="H32" s="157">
        <v>135335284101.14009</v>
      </c>
      <c r="I32" s="161">
        <v>2</v>
      </c>
      <c r="J32" s="156">
        <f t="shared" si="1"/>
        <v>0.1353352841011401</v>
      </c>
    </row>
    <row r="35" spans="2:10" ht="78.75" x14ac:dyDescent="0.25">
      <c r="B35" s="69"/>
      <c r="C35" s="68" t="s">
        <v>56</v>
      </c>
      <c r="D35" s="68" t="s">
        <v>53</v>
      </c>
      <c r="E35" s="68" t="s">
        <v>54</v>
      </c>
      <c r="F35" s="68" t="s">
        <v>55</v>
      </c>
      <c r="G35" s="68" t="s">
        <v>57</v>
      </c>
      <c r="H35" s="73" t="s">
        <v>58</v>
      </c>
      <c r="I35" s="72" t="s">
        <v>59</v>
      </c>
      <c r="J35" s="143" t="s">
        <v>92</v>
      </c>
    </row>
    <row r="36" spans="2:10" x14ac:dyDescent="0.25">
      <c r="B36" s="70">
        <v>1</v>
      </c>
      <c r="C36" s="81">
        <v>1000</v>
      </c>
      <c r="D36" s="81">
        <v>10000</v>
      </c>
      <c r="E36" s="81">
        <v>1000</v>
      </c>
      <c r="F36" s="81">
        <v>1</v>
      </c>
      <c r="G36" s="81">
        <v>1</v>
      </c>
      <c r="H36" s="76">
        <v>1399.7665904786647</v>
      </c>
      <c r="I36" s="77">
        <v>1</v>
      </c>
      <c r="J36" s="162">
        <f>H36/D36</f>
        <v>0.13997665904786646</v>
      </c>
    </row>
    <row r="37" spans="2:10" x14ac:dyDescent="0.25">
      <c r="B37" s="70">
        <v>2</v>
      </c>
      <c r="C37" s="81">
        <v>1000</v>
      </c>
      <c r="D37" s="81">
        <v>20000</v>
      </c>
      <c r="E37" s="81">
        <v>1000</v>
      </c>
      <c r="F37" s="81">
        <v>1</v>
      </c>
      <c r="G37" s="81">
        <v>1</v>
      </c>
      <c r="H37" s="76">
        <v>2731.6993851560082</v>
      </c>
      <c r="I37" s="77">
        <v>1</v>
      </c>
      <c r="J37" s="162">
        <f t="shared" ref="J37:J45" si="2">H37/D37</f>
        <v>0.13658496925780042</v>
      </c>
    </row>
    <row r="38" spans="2:10" x14ac:dyDescent="0.25">
      <c r="B38" s="70">
        <v>3</v>
      </c>
      <c r="C38" s="81">
        <v>1000</v>
      </c>
      <c r="D38" s="81">
        <v>40000</v>
      </c>
      <c r="E38" s="81">
        <v>1000</v>
      </c>
      <c r="F38" s="81">
        <v>1</v>
      </c>
      <c r="G38" s="81">
        <v>1</v>
      </c>
      <c r="H38" s="76">
        <v>5427.9678939331543</v>
      </c>
      <c r="I38" s="77">
        <v>1</v>
      </c>
      <c r="J38" s="162">
        <f t="shared" si="2"/>
        <v>0.13569919734832886</v>
      </c>
    </row>
    <row r="39" spans="2:10" x14ac:dyDescent="0.25">
      <c r="B39" s="70">
        <v>4</v>
      </c>
      <c r="C39" s="81">
        <v>1000</v>
      </c>
      <c r="D39" s="81">
        <v>80000</v>
      </c>
      <c r="E39" s="81">
        <v>1000</v>
      </c>
      <c r="F39" s="81">
        <v>1</v>
      </c>
      <c r="G39" s="81">
        <v>1</v>
      </c>
      <c r="H39" s="76">
        <v>10829.837161455996</v>
      </c>
      <c r="I39" s="77">
        <v>1</v>
      </c>
      <c r="J39" s="162">
        <f t="shared" si="2"/>
        <v>0.13537296451819997</v>
      </c>
    </row>
    <row r="40" spans="2:10" x14ac:dyDescent="0.25">
      <c r="B40" s="70">
        <v>5</v>
      </c>
      <c r="C40" s="81">
        <v>1000</v>
      </c>
      <c r="D40" s="81">
        <v>160000</v>
      </c>
      <c r="E40" s="81">
        <v>1000</v>
      </c>
      <c r="F40" s="81">
        <v>1</v>
      </c>
      <c r="G40" s="81">
        <v>1</v>
      </c>
      <c r="H40" s="76">
        <v>21657.009046758376</v>
      </c>
      <c r="I40" s="77">
        <v>1</v>
      </c>
      <c r="J40" s="162">
        <f t="shared" si="2"/>
        <v>0.13535630654223985</v>
      </c>
    </row>
    <row r="41" spans="2:10" x14ac:dyDescent="0.25">
      <c r="B41" s="70">
        <v>6</v>
      </c>
      <c r="C41" s="81">
        <v>1000</v>
      </c>
      <c r="D41" s="81">
        <v>320000</v>
      </c>
      <c r="E41" s="81">
        <v>1000</v>
      </c>
      <c r="F41" s="81">
        <v>1</v>
      </c>
      <c r="G41" s="81">
        <v>1</v>
      </c>
      <c r="H41" s="76">
        <v>43308.795817675382</v>
      </c>
      <c r="I41" s="77">
        <v>1</v>
      </c>
      <c r="J41" s="162">
        <f t="shared" si="2"/>
        <v>0.13533998693023558</v>
      </c>
    </row>
    <row r="42" spans="2:10" x14ac:dyDescent="0.25">
      <c r="B42" s="70">
        <v>7</v>
      </c>
      <c r="C42" s="81">
        <v>1000</v>
      </c>
      <c r="D42" s="81">
        <v>1000000</v>
      </c>
      <c r="E42" s="81">
        <v>1000</v>
      </c>
      <c r="F42" s="81">
        <v>1</v>
      </c>
      <c r="G42" s="81">
        <v>1</v>
      </c>
      <c r="H42" s="76">
        <v>135335.80368738549</v>
      </c>
      <c r="I42" s="77">
        <v>1</v>
      </c>
      <c r="J42" s="162">
        <f t="shared" si="2"/>
        <v>0.13533580368738549</v>
      </c>
    </row>
    <row r="43" spans="2:10" ht="15.75" x14ac:dyDescent="0.25">
      <c r="B43" s="70">
        <v>8</v>
      </c>
      <c r="C43" s="81">
        <v>1000</v>
      </c>
      <c r="D43" s="81">
        <v>5000000</v>
      </c>
      <c r="E43" s="81">
        <v>1000</v>
      </c>
      <c r="F43" s="81">
        <v>1</v>
      </c>
      <c r="G43" s="81">
        <v>1</v>
      </c>
      <c r="H43" s="78">
        <v>676676.51749487326</v>
      </c>
      <c r="I43" s="79">
        <v>1</v>
      </c>
      <c r="J43" s="162">
        <f t="shared" si="2"/>
        <v>0.13533530349897466</v>
      </c>
    </row>
    <row r="44" spans="2:10" ht="15.75" x14ac:dyDescent="0.25">
      <c r="B44" s="70">
        <v>9</v>
      </c>
      <c r="C44" s="81">
        <v>1000</v>
      </c>
      <c r="D44" s="81">
        <v>10000000</v>
      </c>
      <c r="E44" s="81">
        <v>1000</v>
      </c>
      <c r="F44" s="81">
        <v>1</v>
      </c>
      <c r="G44" s="81">
        <v>1</v>
      </c>
      <c r="H44" s="78">
        <v>1353352.8864974191</v>
      </c>
      <c r="I44" s="79">
        <v>1</v>
      </c>
      <c r="J44" s="162">
        <f t="shared" si="2"/>
        <v>0.1353352886497419</v>
      </c>
    </row>
    <row r="45" spans="2:10" ht="15.75" x14ac:dyDescent="0.25">
      <c r="B45" s="71">
        <v>10</v>
      </c>
      <c r="C45" s="124">
        <v>1000</v>
      </c>
      <c r="D45" s="128">
        <v>1000000000</v>
      </c>
      <c r="E45" s="124">
        <v>1000</v>
      </c>
      <c r="F45" s="124">
        <v>1</v>
      </c>
      <c r="G45" s="127">
        <v>1</v>
      </c>
      <c r="H45" s="125">
        <v>135335283.23706129</v>
      </c>
      <c r="I45" s="126">
        <v>1</v>
      </c>
      <c r="J45" s="162">
        <f t="shared" si="2"/>
        <v>0.13533528323706129</v>
      </c>
    </row>
  </sheetData>
  <mergeCells count="1">
    <mergeCell ref="B2:J3"/>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tabColor theme="0" tint="-4.9989318521683403E-2"/>
  </sheetPr>
  <dimension ref="A2:K20"/>
  <sheetViews>
    <sheetView workbookViewId="0">
      <selection activeCell="O38" sqref="O38"/>
    </sheetView>
  </sheetViews>
  <sheetFormatPr defaultRowHeight="15" x14ac:dyDescent="0.25"/>
  <sheetData>
    <row r="2" spans="1:11" ht="18.75" x14ac:dyDescent="0.3">
      <c r="A2" s="19" t="s">
        <v>78</v>
      </c>
    </row>
    <row r="4" spans="1:11" x14ac:dyDescent="0.25">
      <c r="A4" t="s">
        <v>74</v>
      </c>
    </row>
    <row r="6" spans="1:11" x14ac:dyDescent="0.25">
      <c r="B6" t="s">
        <v>69</v>
      </c>
      <c r="D6" t="s">
        <v>70</v>
      </c>
      <c r="F6" t="s">
        <v>71</v>
      </c>
      <c r="H6" t="s">
        <v>72</v>
      </c>
      <c r="J6" t="s">
        <v>73</v>
      </c>
    </row>
    <row r="7" spans="1:11" x14ac:dyDescent="0.25">
      <c r="A7" s="1" t="s">
        <v>62</v>
      </c>
      <c r="B7" s="1" t="s">
        <v>63</v>
      </c>
      <c r="C7" s="1" t="s">
        <v>64</v>
      </c>
      <c r="D7" s="1" t="s">
        <v>63</v>
      </c>
      <c r="E7" s="1" t="s">
        <v>64</v>
      </c>
      <c r="F7" s="1" t="s">
        <v>63</v>
      </c>
      <c r="G7" s="1" t="s">
        <v>64</v>
      </c>
      <c r="H7" s="1" t="s">
        <v>63</v>
      </c>
      <c r="I7" s="1" t="s">
        <v>64</v>
      </c>
      <c r="J7" s="1" t="s">
        <v>63</v>
      </c>
      <c r="K7" s="1" t="s">
        <v>64</v>
      </c>
    </row>
    <row r="8" spans="1:11" x14ac:dyDescent="0.25">
      <c r="A8" s="1">
        <v>0</v>
      </c>
      <c r="B8" s="11">
        <v>0</v>
      </c>
      <c r="C8" s="11">
        <v>10000</v>
      </c>
      <c r="D8" s="11">
        <v>0</v>
      </c>
      <c r="E8" s="11">
        <v>9000</v>
      </c>
      <c r="F8" s="11">
        <v>0</v>
      </c>
      <c r="G8" s="11">
        <v>8000</v>
      </c>
      <c r="H8" s="11">
        <v>0</v>
      </c>
      <c r="I8" s="11">
        <v>7000</v>
      </c>
      <c r="J8" s="11">
        <v>0</v>
      </c>
      <c r="K8" s="11">
        <v>6000</v>
      </c>
    </row>
    <row r="9" spans="1:11" x14ac:dyDescent="0.25">
      <c r="A9" s="1">
        <v>1</v>
      </c>
      <c r="B9" s="11">
        <v>52.631578947368418</v>
      </c>
      <c r="C9" s="11">
        <v>9000</v>
      </c>
      <c r="D9" s="11">
        <v>62.5</v>
      </c>
      <c r="E9" s="11">
        <v>8000</v>
      </c>
      <c r="F9" s="11">
        <v>76.92307692307692</v>
      </c>
      <c r="G9" s="11">
        <v>7000</v>
      </c>
      <c r="H9" s="11">
        <v>100</v>
      </c>
      <c r="I9" s="11">
        <v>6000</v>
      </c>
      <c r="J9" s="11">
        <v>142.85714285714286</v>
      </c>
      <c r="K9" s="11">
        <v>5000</v>
      </c>
    </row>
    <row r="10" spans="1:11" x14ac:dyDescent="0.25">
      <c r="A10" s="1">
        <v>2</v>
      </c>
      <c r="B10" s="11">
        <v>111.45510835913312</v>
      </c>
      <c r="C10" s="11">
        <v>8000</v>
      </c>
      <c r="D10" s="11">
        <v>133.92857142857144</v>
      </c>
      <c r="E10" s="11">
        <v>7000</v>
      </c>
      <c r="F10" s="11">
        <v>167.83216783216784</v>
      </c>
      <c r="G10" s="11">
        <v>6000</v>
      </c>
      <c r="H10" s="11">
        <v>225</v>
      </c>
      <c r="I10" s="11">
        <v>5000</v>
      </c>
      <c r="J10" s="11">
        <v>342.85714285714289</v>
      </c>
      <c r="K10" s="11">
        <v>4000</v>
      </c>
    </row>
    <row r="11" spans="1:11" x14ac:dyDescent="0.25">
      <c r="A11" s="1">
        <v>3</v>
      </c>
      <c r="B11" s="11">
        <v>178.12177502579979</v>
      </c>
      <c r="C11" s="11">
        <v>7000</v>
      </c>
      <c r="D11" s="11">
        <v>217.26190476190476</v>
      </c>
      <c r="E11" s="11">
        <v>6000</v>
      </c>
      <c r="F11" s="11">
        <v>278.94327894327898</v>
      </c>
      <c r="G11" s="11">
        <v>5000</v>
      </c>
      <c r="H11" s="11">
        <v>391.66666666666663</v>
      </c>
      <c r="I11" s="11">
        <v>4000</v>
      </c>
      <c r="J11" s="11">
        <v>592.85714285714289</v>
      </c>
      <c r="K11" s="11">
        <v>3000</v>
      </c>
    </row>
    <row r="12" spans="1:11" x14ac:dyDescent="0.25">
      <c r="A12" s="1">
        <v>4</v>
      </c>
      <c r="B12" s="11">
        <v>255.04485194887673</v>
      </c>
      <c r="C12" s="11">
        <v>6000</v>
      </c>
      <c r="D12" s="11">
        <v>317.26190476190476</v>
      </c>
      <c r="E12" s="11">
        <v>5000</v>
      </c>
      <c r="F12" s="11">
        <v>421.80042180042187</v>
      </c>
      <c r="G12" s="11">
        <v>4000</v>
      </c>
      <c r="H12" s="11">
        <v>641.66666666666663</v>
      </c>
      <c r="I12" s="11">
        <v>3000</v>
      </c>
      <c r="J12" s="11">
        <v>926.19047619047615</v>
      </c>
      <c r="K12" s="11">
        <v>2000</v>
      </c>
    </row>
    <row r="13" spans="1:11" x14ac:dyDescent="0.25">
      <c r="A13" s="1">
        <v>5</v>
      </c>
      <c r="B13" s="11">
        <v>345.9539428579676</v>
      </c>
      <c r="C13" s="11">
        <v>5000</v>
      </c>
      <c r="D13" s="11">
        <v>442.26190476190476</v>
      </c>
      <c r="E13" s="11">
        <v>4000</v>
      </c>
      <c r="F13" s="11">
        <v>621.80042180042187</v>
      </c>
      <c r="G13" s="11">
        <v>3000</v>
      </c>
      <c r="H13" s="11">
        <v>975</v>
      </c>
      <c r="I13" s="11">
        <v>2000</v>
      </c>
      <c r="J13" s="11">
        <v>1000</v>
      </c>
      <c r="K13" s="11">
        <v>1852.38</v>
      </c>
    </row>
    <row r="14" spans="1:11" x14ac:dyDescent="0.25">
      <c r="A14" s="1">
        <v>6</v>
      </c>
      <c r="B14" s="11">
        <v>457.06505396907869</v>
      </c>
      <c r="C14" s="11">
        <v>4000</v>
      </c>
      <c r="D14" s="11">
        <v>608.92857142857144</v>
      </c>
      <c r="E14" s="11">
        <v>3000</v>
      </c>
      <c r="F14" s="11">
        <v>955.13375513375513</v>
      </c>
      <c r="G14" s="11">
        <v>2000</v>
      </c>
      <c r="H14" s="11">
        <v>1000</v>
      </c>
      <c r="I14" s="11">
        <v>1950</v>
      </c>
    </row>
    <row r="15" spans="1:11" x14ac:dyDescent="0.25">
      <c r="A15" s="1">
        <v>7</v>
      </c>
      <c r="B15" s="11">
        <v>599.92219682622158</v>
      </c>
      <c r="C15" s="11">
        <v>3000</v>
      </c>
      <c r="D15" s="11">
        <v>858.92857142857144</v>
      </c>
      <c r="E15" s="11">
        <v>2000</v>
      </c>
      <c r="F15" s="11">
        <v>1000</v>
      </c>
      <c r="G15" s="11">
        <v>1910.27</v>
      </c>
    </row>
    <row r="16" spans="1:11" x14ac:dyDescent="0.25">
      <c r="A16" s="1">
        <v>8</v>
      </c>
      <c r="B16" s="11">
        <v>799.92219682622158</v>
      </c>
      <c r="C16" s="11">
        <v>2000</v>
      </c>
      <c r="D16" s="11">
        <v>1000</v>
      </c>
      <c r="E16" s="11">
        <v>1717.86</v>
      </c>
    </row>
    <row r="17" spans="1:3" x14ac:dyDescent="0.25">
      <c r="A17" s="1">
        <v>9</v>
      </c>
      <c r="B17" s="11">
        <v>1000</v>
      </c>
      <c r="C17" s="11">
        <v>1399.77</v>
      </c>
    </row>
    <row r="18" spans="1:3" x14ac:dyDescent="0.25">
      <c r="A18" s="1"/>
      <c r="B18" s="11"/>
      <c r="C18" s="11"/>
    </row>
    <row r="19" spans="1:3" x14ac:dyDescent="0.25">
      <c r="A19" s="1"/>
      <c r="B19" s="11"/>
      <c r="C19" s="11"/>
    </row>
    <row r="20" spans="1:3" x14ac:dyDescent="0.25">
      <c r="A20" s="1"/>
      <c r="B20" s="11"/>
      <c r="C20" s="11"/>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22</vt:i4>
      </vt:variant>
    </vt:vector>
  </HeadingPairs>
  <TitlesOfParts>
    <vt:vector size="32" baseType="lpstr">
      <vt:lpstr>Introduction</vt:lpstr>
      <vt:lpstr>Programs</vt:lpstr>
      <vt:lpstr>Deliverable (sheet calculation)</vt:lpstr>
      <vt:lpstr>Deliverable</vt:lpstr>
      <vt:lpstr>Table</vt:lpstr>
      <vt:lpstr>Result 1</vt:lpstr>
      <vt:lpstr>Result 2</vt:lpstr>
      <vt:lpstr>Result 3</vt:lpstr>
      <vt:lpstr>Result 4</vt:lpstr>
      <vt:lpstr>DATA</vt:lpstr>
      <vt:lpstr>Distance</vt:lpstr>
      <vt:lpstr>'Deliverable (sheet calculation)'!Dx</vt:lpstr>
      <vt:lpstr>dxtol</vt:lpstr>
      <vt:lpstr>firstcell</vt:lpstr>
      <vt:lpstr>'Deliverable (sheet calculation)'!fuel</vt:lpstr>
      <vt:lpstr>FuelRate</vt:lpstr>
      <vt:lpstr>'Deliverable (sheet calculation)'!Ks</vt:lpstr>
      <vt:lpstr>MaxL</vt:lpstr>
      <vt:lpstr>'Deliverable (sheet calculation)'!ML</vt:lpstr>
      <vt:lpstr>'Deliverable (sheet calculation)'!NC</vt:lpstr>
      <vt:lpstr>Ncamel</vt:lpstr>
      <vt:lpstr>Ncamelx</vt:lpstr>
      <vt:lpstr>NxIn</vt:lpstr>
      <vt:lpstr>Result</vt:lpstr>
      <vt:lpstr>s_1</vt:lpstr>
      <vt:lpstr>s_2</vt:lpstr>
      <vt:lpstr>s_3</vt:lpstr>
      <vt:lpstr>s_4</vt:lpstr>
      <vt:lpstr>'Deliverable (sheet calculation)'!SL</vt:lpstr>
      <vt:lpstr>StartL</vt:lpstr>
      <vt:lpstr>StartLx</vt:lpstr>
      <vt:lpstr>x0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LucyCrew</dc:creator>
  <cp:lastModifiedBy>LucyCrew</cp:lastModifiedBy>
  <cp:lastPrinted>2017-06-01T04:08:08Z</cp:lastPrinted>
  <dcterms:created xsi:type="dcterms:W3CDTF">2017-05-19T23:24:09Z</dcterms:created>
  <dcterms:modified xsi:type="dcterms:W3CDTF">2018-03-14T18:21:24Z</dcterms:modified>
</cp:coreProperties>
</file>